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2.vml" ContentType="application/vnd.openxmlformats-officedocument.vmlDrawing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วิธีใช้" sheetId="1" state="visible" r:id="rId3"/>
    <sheet name="ตั้งค่า" sheetId="2" state="visible" r:id="rId4"/>
    <sheet name="บันทึก" sheetId="3" state="visible" r:id="rId5"/>
    <sheet name="สรุปรายเดือน" sheetId="4" state="visible" r:id="rId6"/>
    <sheet name="งบประมาณ" sheetId="5" state="visible" r:id="rId7"/>
  </sheets>
  <definedNames>
    <definedName function="false" hidden="true" localSheetId="2" name="_xlnm._FilterDatabase" vbProcedure="false">บันทึก!$A$4:$L$1004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FreeSans"/>
            <family val="2"/>
          </rPr>
          <t xml:space="preserve">ตัวอย่าง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FreeSans"/>
            <family val="2"/>
          </rPr>
          <t xml:space="preserve">เงินคงเหลือ ณ ต้นปี — แก้เป็นยอดจริงของคุณ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" authorId="0">
      <text>
        <r>
          <rPr>
            <sz val="10"/>
            <rFont val="FreeSans"/>
            <family val="2"/>
          </rPr>
          <t xml:space="preserve">แถว </t>
        </r>
        <r>
          <rPr>
            <sz val="10"/>
            <rFont val="Arial"/>
            <family val="2"/>
          </rPr>
          <t xml:space="preserve">5–14 </t>
        </r>
        <r>
          <rPr>
            <sz val="10"/>
            <rFont val="FreeSans"/>
            <family val="2"/>
          </rPr>
          <t xml:space="preserve">เป็นตัวอย่าง ลบได้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FreeSans"/>
            <family val="2"/>
          </rPr>
          <t xml:space="preserve">ลบเฉพาะค่าในคอลัมน์ </t>
        </r>
        <r>
          <rPr>
            <sz val="10"/>
            <rFont val="Arial"/>
            <family val="2"/>
          </rPr>
          <t xml:space="preserve">A–G)</t>
        </r>
      </text>
    </comment>
  </commentList>
</comments>
</file>

<file path=xl/sharedStrings.xml><?xml version="1.0" encoding="utf-8"?>
<sst xmlns="http://schemas.openxmlformats.org/spreadsheetml/2006/main" count="166" uniqueCount="134">
  <si>
    <t xml:space="preserve">เทมเพลตรายรับรายจ่าย</t>
  </si>
  <si>
    <t xml:space="preserve">บันทึกรายการ → ดูสรุปรายเดือนและเทียบงบประมาณได้อัตโนมัติ</t>
  </si>
  <si>
    <t xml:space="preserve">ขั้นตอน</t>
  </si>
  <si>
    <r>
      <rPr>
        <b val="true"/>
        <sz val="10"/>
        <rFont val="Tahoma"/>
        <family val="0"/>
        <charset val="1"/>
      </rPr>
      <t xml:space="preserve">1. </t>
    </r>
    <r>
      <rPr>
        <b val="true"/>
        <sz val="10"/>
        <rFont val="FreeSans"/>
        <family val="2"/>
      </rPr>
      <t xml:space="preserve">ตั้งค่า</t>
    </r>
  </si>
  <si>
    <t xml:space="preserve">ไปที่ชีต ‘ตั้งค่า’ ใส่ปีที่ต้องการสรุป ยอดเงินคงเหลือยกมา แก้ชื่อหมวดหมู่และงบประมาณต่อเดือนได้ตามต้องการ</t>
  </si>
  <si>
    <r>
      <rPr>
        <b val="true"/>
        <sz val="10"/>
        <rFont val="Tahoma"/>
        <family val="0"/>
        <charset val="1"/>
      </rPr>
      <t xml:space="preserve">2. </t>
    </r>
    <r>
      <rPr>
        <b val="true"/>
        <sz val="10"/>
        <rFont val="FreeSans"/>
        <family val="2"/>
      </rPr>
      <t xml:space="preserve">บันทึก</t>
    </r>
  </si>
  <si>
    <r>
      <rPr>
        <sz val="10"/>
        <rFont val="FreeSans"/>
        <family val="2"/>
      </rPr>
      <t xml:space="preserve">ไปที่ชีต ‘บันทึก’ กรอก วันที่ </t>
    </r>
    <r>
      <rPr>
        <sz val="10"/>
        <rFont val="Tahoma"/>
        <family val="0"/>
        <charset val="1"/>
      </rPr>
      <t xml:space="preserve">/ </t>
    </r>
    <r>
      <rPr>
        <sz val="10"/>
        <rFont val="FreeSans"/>
        <family val="2"/>
      </rPr>
      <t xml:space="preserve">รายการ </t>
    </r>
    <r>
      <rPr>
        <sz val="10"/>
        <rFont val="Tahoma"/>
        <family val="0"/>
        <charset val="1"/>
      </rPr>
      <t xml:space="preserve">/ </t>
    </r>
    <r>
      <rPr>
        <sz val="10"/>
        <rFont val="FreeSans"/>
        <family val="2"/>
      </rPr>
      <t xml:space="preserve">หมวดหมู่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เลือกจากรายการ</t>
    </r>
    <r>
      <rPr>
        <sz val="10"/>
        <rFont val="Tahoma"/>
        <family val="0"/>
        <charset val="1"/>
      </rPr>
      <t xml:space="preserve">) / </t>
    </r>
    <r>
      <rPr>
        <sz val="10"/>
        <rFont val="FreeSans"/>
        <family val="2"/>
      </rPr>
      <t xml:space="preserve">จำนวนเงิน — ประเภทรายรับหรือรายจ่ายจะขึ้นเองตามหมวดหมู่</t>
    </r>
  </si>
  <si>
    <r>
      <rPr>
        <b val="true"/>
        <sz val="10"/>
        <rFont val="Tahoma"/>
        <family val="0"/>
        <charset val="1"/>
      </rPr>
      <t xml:space="preserve">3. </t>
    </r>
    <r>
      <rPr>
        <b val="true"/>
        <sz val="10"/>
        <rFont val="FreeSans"/>
        <family val="2"/>
      </rPr>
      <t xml:space="preserve">สรุป</t>
    </r>
  </si>
  <si>
    <t xml:space="preserve">ชีต ‘สรุปรายเดือน’ และ ‘งบประมาณ’ คำนวณให้อัตโนมัติ ไม่ต้องแก้สูตร</t>
  </si>
  <si>
    <r>
      <rPr>
        <b val="true"/>
        <sz val="10"/>
        <rFont val="Tahoma"/>
        <family val="0"/>
        <charset val="1"/>
      </rPr>
      <t xml:space="preserve">4. </t>
    </r>
    <r>
      <rPr>
        <b val="true"/>
        <sz val="10"/>
        <rFont val="FreeSans"/>
        <family val="2"/>
      </rPr>
      <t xml:space="preserve">ตัวอย่าง</t>
    </r>
  </si>
  <si>
    <r>
      <rPr>
        <sz val="10"/>
        <rFont val="FreeSans"/>
        <family val="2"/>
      </rPr>
      <t xml:space="preserve">แถวที่ </t>
    </r>
    <r>
      <rPr>
        <sz val="10"/>
        <rFont val="Tahoma"/>
        <family val="0"/>
        <charset val="1"/>
      </rPr>
      <t xml:space="preserve">5–14 </t>
    </r>
    <r>
      <rPr>
        <sz val="10"/>
        <rFont val="FreeSans"/>
        <family val="2"/>
      </rPr>
      <t xml:space="preserve">ในชีต ‘บันทึก’ เป็นข้อมูลตัวอย่าง ลบออกได้เลย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เลือกเซลล์ </t>
    </r>
    <r>
      <rPr>
        <sz val="10"/>
        <rFont val="Tahoma"/>
        <family val="0"/>
        <charset val="1"/>
      </rPr>
      <t xml:space="preserve">A–G </t>
    </r>
    <r>
      <rPr>
        <sz val="10"/>
        <rFont val="FreeSans"/>
        <family val="2"/>
      </rPr>
      <t xml:space="preserve">แล้วกด </t>
    </r>
    <r>
      <rPr>
        <sz val="10"/>
        <rFont val="Tahoma"/>
        <family val="0"/>
        <charset val="1"/>
      </rPr>
      <t xml:space="preserve">Delete — </t>
    </r>
    <r>
      <rPr>
        <sz val="10"/>
        <rFont val="FreeSans"/>
        <family val="2"/>
      </rPr>
      <t xml:space="preserve">อย่าลบทั้งแถว</t>
    </r>
    <r>
      <rPr>
        <sz val="10"/>
        <rFont val="Tahoma"/>
        <family val="0"/>
        <charset val="1"/>
      </rPr>
      <t xml:space="preserve">)</t>
    </r>
  </si>
  <si>
    <t xml:space="preserve">สัญลักษณ์สีเซลล์</t>
  </si>
  <si>
    <t xml:space="preserve">ตัวอักษรสีน้ำเงิน บนพื้นเหลืองอ่อน</t>
  </si>
  <si>
    <t xml:space="preserve">ช่องสำหรับกรอกข้อมูล</t>
  </si>
  <si>
    <t xml:space="preserve">ตัวอักษรสีดำ</t>
  </si>
  <si>
    <t xml:space="preserve">สูตรคำนวณ — ไม่ต้องแก้</t>
  </si>
  <si>
    <t xml:space="preserve">ตัวอักษรสีเขียว</t>
  </si>
  <si>
    <t xml:space="preserve">ค่าที่ดึงมาจากชีตอื่น</t>
  </si>
  <si>
    <t xml:space="preserve">หมายเหตุ</t>
  </si>
  <si>
    <t xml:space="preserve">• จำนวนเงิน</t>
  </si>
  <si>
    <t xml:space="preserve">ใส่เป็นบวกเสมอ ทั้งรายรับและรายจ่าย ระบบแยกเองตามหมวดหมู่</t>
  </si>
  <si>
    <t xml:space="preserve">• จำนวนแถว</t>
  </si>
  <si>
    <r>
      <rPr>
        <sz val="10"/>
        <rFont val="FreeSans"/>
        <family val="2"/>
      </rPr>
      <t xml:space="preserve">เตรียมสูตรไว้ </t>
    </r>
    <r>
      <rPr>
        <sz val="10"/>
        <rFont val="Tahoma"/>
        <family val="0"/>
        <charset val="1"/>
      </rPr>
      <t xml:space="preserve">1,000 </t>
    </r>
    <r>
      <rPr>
        <sz val="10"/>
        <rFont val="FreeSans"/>
        <family val="2"/>
      </rPr>
      <t xml:space="preserve">รายการ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แถว </t>
    </r>
    <r>
      <rPr>
        <sz val="10"/>
        <rFont val="Tahoma"/>
        <family val="0"/>
        <charset val="1"/>
      </rPr>
      <t xml:space="preserve">5–1004) </t>
    </r>
    <r>
      <rPr>
        <sz val="10"/>
        <rFont val="FreeSans"/>
        <family val="2"/>
      </rPr>
      <t xml:space="preserve">หากต้องการมากกว่านี้ ให้คัดลอกแถวสุดท้ายลงไปต่อ</t>
    </r>
  </si>
  <si>
    <t xml:space="preserve">• ปี</t>
  </si>
  <si>
    <r>
      <rPr>
        <sz val="10"/>
        <rFont val="FreeSans"/>
        <family val="2"/>
      </rPr>
      <t xml:space="preserve">ชีตสรุปนับเฉพาะรายการในปีที่ตั้งไว้ในชีต ‘ตั้งค่า’ ใช้ปี ค</t>
    </r>
    <r>
      <rPr>
        <sz val="10"/>
        <rFont val="Tahoma"/>
        <family val="0"/>
        <charset val="1"/>
      </rPr>
      <t xml:space="preserve">.</t>
    </r>
    <r>
      <rPr>
        <sz val="10"/>
        <rFont val="FreeSans"/>
        <family val="2"/>
      </rPr>
      <t xml:space="preserve">ศ</t>
    </r>
    <r>
      <rPr>
        <sz val="10"/>
        <rFont val="Tahoma"/>
        <family val="0"/>
        <charset val="1"/>
      </rPr>
      <t xml:space="preserve">. </t>
    </r>
    <r>
      <rPr>
        <sz val="10"/>
        <rFont val="FreeSans"/>
        <family val="2"/>
      </rPr>
      <t xml:space="preserve">เช่น </t>
    </r>
    <r>
      <rPr>
        <sz val="10"/>
        <rFont val="Tahoma"/>
        <family val="0"/>
        <charset val="1"/>
      </rPr>
      <t xml:space="preserve">2026 (= </t>
    </r>
    <r>
      <rPr>
        <sz val="10"/>
        <rFont val="FreeSans"/>
        <family val="2"/>
      </rPr>
      <t xml:space="preserve">พ</t>
    </r>
    <r>
      <rPr>
        <sz val="10"/>
        <rFont val="Tahoma"/>
        <family val="0"/>
        <charset val="1"/>
      </rPr>
      <t xml:space="preserve">.</t>
    </r>
    <r>
      <rPr>
        <sz val="10"/>
        <rFont val="FreeSans"/>
        <family val="2"/>
      </rPr>
      <t xml:space="preserve">ศ</t>
    </r>
    <r>
      <rPr>
        <sz val="10"/>
        <rFont val="Tahoma"/>
        <family val="0"/>
        <charset val="1"/>
      </rPr>
      <t xml:space="preserve">. 2569)</t>
    </r>
  </si>
  <si>
    <t xml:space="preserve">ตั้งค่า</t>
  </si>
  <si>
    <t xml:space="preserve">แก้ได้เฉพาะช่องพื้นเหลือง</t>
  </si>
  <si>
    <r>
      <rPr>
        <b val="true"/>
        <sz val="10"/>
        <rFont val="FreeSans"/>
        <family val="2"/>
      </rPr>
      <t xml:space="preserve">ปีที่สรุป </t>
    </r>
    <r>
      <rPr>
        <b val="true"/>
        <sz val="10"/>
        <rFont val="Tahoma"/>
        <family val="0"/>
        <charset val="1"/>
      </rPr>
      <t xml:space="preserve">(</t>
    </r>
    <r>
      <rPr>
        <b val="true"/>
        <sz val="10"/>
        <rFont val="FreeSans"/>
        <family val="2"/>
      </rPr>
      <t xml:space="preserve">ค</t>
    </r>
    <r>
      <rPr>
        <b val="true"/>
        <sz val="10"/>
        <rFont val="Tahoma"/>
        <family val="0"/>
        <charset val="1"/>
      </rPr>
      <t xml:space="preserve">.</t>
    </r>
    <r>
      <rPr>
        <b val="true"/>
        <sz val="10"/>
        <rFont val="FreeSans"/>
        <family val="2"/>
      </rPr>
      <t xml:space="preserve">ศ</t>
    </r>
    <r>
      <rPr>
        <b val="true"/>
        <sz val="10"/>
        <rFont val="Tahoma"/>
        <family val="0"/>
        <charset val="1"/>
      </rPr>
      <t xml:space="preserve">.)</t>
    </r>
  </si>
  <si>
    <r>
      <rPr>
        <sz val="10"/>
        <color rgb="FF6B645B"/>
        <rFont val="FreeSans"/>
        <family val="2"/>
      </rPr>
      <t xml:space="preserve">ปี พ</t>
    </r>
    <r>
      <rPr>
        <sz val="10"/>
        <color rgb="FF6B645B"/>
        <rFont val="Tahoma"/>
        <family val="0"/>
        <charset val="1"/>
      </rPr>
      <t xml:space="preserve">.</t>
    </r>
    <r>
      <rPr>
        <sz val="10"/>
        <color rgb="FF6B645B"/>
        <rFont val="FreeSans"/>
        <family val="2"/>
      </rPr>
      <t xml:space="preserve">ศ</t>
    </r>
    <r>
      <rPr>
        <sz val="10"/>
        <color rgb="FF6B645B"/>
        <rFont val="Tahoma"/>
        <family val="0"/>
        <charset val="1"/>
      </rPr>
      <t xml:space="preserve">.</t>
    </r>
  </si>
  <si>
    <r>
      <rPr>
        <b val="true"/>
        <sz val="10"/>
        <rFont val="FreeSans"/>
        <family val="2"/>
      </rPr>
      <t xml:space="preserve">ยอดคงเหลือยกมา </t>
    </r>
    <r>
      <rPr>
        <b val="true"/>
        <sz val="10"/>
        <rFont val="Tahoma"/>
        <family val="0"/>
        <charset val="1"/>
      </rPr>
      <t xml:space="preserve">(</t>
    </r>
    <r>
      <rPr>
        <b val="true"/>
        <sz val="10"/>
        <rFont val="FreeSans"/>
        <family val="2"/>
      </rPr>
      <t xml:space="preserve">฿</t>
    </r>
    <r>
      <rPr>
        <b val="true"/>
        <sz val="10"/>
        <rFont val="Tahoma"/>
        <family val="0"/>
        <charset val="1"/>
      </rPr>
      <t xml:space="preserve">)</t>
    </r>
  </si>
  <si>
    <t xml:space="preserve">กรอกต่อกันจากบนลงล่าง ไม่เว้นแถวว่าง</t>
  </si>
  <si>
    <t xml:space="preserve">หมวดหมู่รายรับ</t>
  </si>
  <si>
    <t xml:space="preserve">หมวดหมู่รายจ่าย</t>
  </si>
  <si>
    <r>
      <rPr>
        <b val="true"/>
        <sz val="10"/>
        <color rgb="FFFFFFFF"/>
        <rFont val="FreeSans"/>
        <family val="2"/>
      </rPr>
      <t xml:space="preserve">งบต่อเดือน </t>
    </r>
    <r>
      <rPr>
        <b val="true"/>
        <sz val="10"/>
        <color rgb="FFFFFFFF"/>
        <rFont val="Tahoma"/>
        <family val="0"/>
        <charset val="1"/>
      </rPr>
      <t xml:space="preserve">(</t>
    </r>
    <r>
      <rPr>
        <b val="true"/>
        <sz val="10"/>
        <color rgb="FFFFFFFF"/>
        <rFont val="FreeSans"/>
        <family val="2"/>
      </rPr>
      <t xml:space="preserve">฿</t>
    </r>
    <r>
      <rPr>
        <b val="true"/>
        <sz val="10"/>
        <color rgb="FFFFFFFF"/>
        <rFont val="Tahoma"/>
        <family val="0"/>
        <charset val="1"/>
      </rPr>
      <t xml:space="preserve">)</t>
    </r>
  </si>
  <si>
    <t xml:space="preserve">ช่องทางชำระ</t>
  </si>
  <si>
    <r>
      <rPr>
        <b val="true"/>
        <sz val="10"/>
        <color rgb="FFFFFFFF"/>
        <rFont val="FreeSans"/>
        <family val="2"/>
      </rPr>
      <t xml:space="preserve">รายการหมวดหมู่ทั้งหมด </t>
    </r>
    <r>
      <rPr>
        <b val="true"/>
        <sz val="10"/>
        <color rgb="FFFFFFFF"/>
        <rFont val="Tahoma"/>
        <family val="0"/>
        <charset val="1"/>
      </rPr>
      <t xml:space="preserve">(</t>
    </r>
    <r>
      <rPr>
        <b val="true"/>
        <sz val="10"/>
        <color rgb="FFFFFFFF"/>
        <rFont val="FreeSans"/>
        <family val="2"/>
      </rPr>
      <t xml:space="preserve">อัตโนมัติ</t>
    </r>
    <r>
      <rPr>
        <b val="true"/>
        <sz val="10"/>
        <color rgb="FFFFFFFF"/>
        <rFont val="Tahoma"/>
        <family val="0"/>
        <charset val="1"/>
      </rPr>
      <t xml:space="preserve">)</t>
    </r>
  </si>
  <si>
    <t xml:space="preserve">เงินเดือน</t>
  </si>
  <si>
    <r>
      <rPr>
        <sz val="10"/>
        <color rgb="FF0000FF"/>
        <rFont val="FreeSans"/>
        <family val="2"/>
      </rPr>
      <t xml:space="preserve">อาหาร </t>
    </r>
    <r>
      <rPr>
        <sz val="10"/>
        <color rgb="FF0000FF"/>
        <rFont val="Tahoma"/>
        <family val="0"/>
        <charset val="1"/>
      </rPr>
      <t xml:space="preserve">&amp; </t>
    </r>
    <r>
      <rPr>
        <sz val="10"/>
        <color rgb="FF0000FF"/>
        <rFont val="FreeSans"/>
        <family val="2"/>
      </rPr>
      <t xml:space="preserve">เครื่องดื่ม</t>
    </r>
  </si>
  <si>
    <t xml:space="preserve">เงินสด</t>
  </si>
  <si>
    <t xml:space="preserve">โบนัส</t>
  </si>
  <si>
    <r>
      <rPr>
        <sz val="10"/>
        <color rgb="FF0000FF"/>
        <rFont val="FreeSans"/>
        <family val="2"/>
      </rPr>
      <t xml:space="preserve">ที่พัก </t>
    </r>
    <r>
      <rPr>
        <sz val="10"/>
        <color rgb="FF0000FF"/>
        <rFont val="Tahoma"/>
        <family val="0"/>
        <charset val="1"/>
      </rPr>
      <t xml:space="preserve">/ </t>
    </r>
    <r>
      <rPr>
        <sz val="10"/>
        <color rgb="FF0000FF"/>
        <rFont val="FreeSans"/>
        <family val="2"/>
      </rPr>
      <t xml:space="preserve">ค่าเช่า</t>
    </r>
  </si>
  <si>
    <r>
      <rPr>
        <sz val="10"/>
        <color rgb="FF0000FF"/>
        <rFont val="FreeSans"/>
        <family val="2"/>
      </rPr>
      <t xml:space="preserve">โอน </t>
    </r>
    <r>
      <rPr>
        <sz val="10"/>
        <color rgb="FF0000FF"/>
        <rFont val="Tahoma"/>
        <family val="0"/>
        <charset val="1"/>
      </rPr>
      <t xml:space="preserve">/ </t>
    </r>
    <r>
      <rPr>
        <sz val="10"/>
        <color rgb="FF0000FF"/>
        <rFont val="FreeSans"/>
        <family val="2"/>
      </rPr>
      <t xml:space="preserve">พร้อมเพย์</t>
    </r>
  </si>
  <si>
    <r>
      <rPr>
        <sz val="10"/>
        <color rgb="FF0000FF"/>
        <rFont val="FreeSans"/>
        <family val="2"/>
      </rPr>
      <t xml:space="preserve">รายได้เสริม </t>
    </r>
    <r>
      <rPr>
        <sz val="10"/>
        <color rgb="FF0000FF"/>
        <rFont val="Tahoma"/>
        <family val="0"/>
        <charset val="1"/>
      </rPr>
      <t xml:space="preserve">/ </t>
    </r>
    <r>
      <rPr>
        <sz val="10"/>
        <color rgb="FF0000FF"/>
        <rFont val="FreeSans"/>
        <family val="2"/>
      </rPr>
      <t xml:space="preserve">ฟรีแลนซ์</t>
    </r>
  </si>
  <si>
    <t xml:space="preserve">ค่าน้ำ ค่าไฟ ค่าเน็ต</t>
  </si>
  <si>
    <t xml:space="preserve">บัตรเดบิต</t>
  </si>
  <si>
    <t xml:space="preserve">ขายของ</t>
  </si>
  <si>
    <r>
      <rPr>
        <sz val="10"/>
        <color rgb="FF0000FF"/>
        <rFont val="FreeSans"/>
        <family val="2"/>
      </rPr>
      <t xml:space="preserve">เดินทาง </t>
    </r>
    <r>
      <rPr>
        <sz val="10"/>
        <color rgb="FF0000FF"/>
        <rFont val="Tahoma"/>
        <family val="0"/>
        <charset val="1"/>
      </rPr>
      <t xml:space="preserve">/ </t>
    </r>
    <r>
      <rPr>
        <sz val="10"/>
        <color rgb="FF0000FF"/>
        <rFont val="FreeSans"/>
        <family val="2"/>
      </rPr>
      <t xml:space="preserve">น้ำมัน</t>
    </r>
  </si>
  <si>
    <t xml:space="preserve">บัตรเครดิต</t>
  </si>
  <si>
    <r>
      <rPr>
        <sz val="10"/>
        <color rgb="FF0000FF"/>
        <rFont val="FreeSans"/>
        <family val="2"/>
      </rPr>
      <t xml:space="preserve">ดอกเบี้ย </t>
    </r>
    <r>
      <rPr>
        <sz val="10"/>
        <color rgb="FF0000FF"/>
        <rFont val="Tahoma"/>
        <family val="0"/>
        <charset val="1"/>
      </rPr>
      <t xml:space="preserve">/ </t>
    </r>
    <r>
      <rPr>
        <sz val="10"/>
        <color rgb="FF0000FF"/>
        <rFont val="FreeSans"/>
        <family val="2"/>
      </rPr>
      <t xml:space="preserve">เงินปันผล</t>
    </r>
  </si>
  <si>
    <t xml:space="preserve">ช้อปปิ้ง</t>
  </si>
  <si>
    <t xml:space="preserve">e-Wallet</t>
  </si>
  <si>
    <r>
      <rPr>
        <sz val="10"/>
        <color rgb="FF0000FF"/>
        <rFont val="FreeSans"/>
        <family val="2"/>
      </rPr>
      <t xml:space="preserve">เงินคืน </t>
    </r>
    <r>
      <rPr>
        <sz val="10"/>
        <color rgb="FF0000FF"/>
        <rFont val="Tahoma"/>
        <family val="0"/>
        <charset val="1"/>
      </rPr>
      <t xml:space="preserve">/ </t>
    </r>
    <r>
      <rPr>
        <sz val="10"/>
        <color rgb="FF0000FF"/>
        <rFont val="FreeSans"/>
        <family val="2"/>
      </rPr>
      <t xml:space="preserve">ของขวัญ</t>
    </r>
  </si>
  <si>
    <r>
      <rPr>
        <sz val="10"/>
        <color rgb="FF0000FF"/>
        <rFont val="FreeSans"/>
        <family val="2"/>
      </rPr>
      <t xml:space="preserve">สุขภาพ </t>
    </r>
    <r>
      <rPr>
        <sz val="10"/>
        <color rgb="FF0000FF"/>
        <rFont val="Tahoma"/>
        <family val="0"/>
        <charset val="1"/>
      </rPr>
      <t xml:space="preserve">&amp; </t>
    </r>
    <r>
      <rPr>
        <sz val="10"/>
        <color rgb="FF0000FF"/>
        <rFont val="FreeSans"/>
        <family val="2"/>
      </rPr>
      <t xml:space="preserve">ประกัน</t>
    </r>
  </si>
  <si>
    <t xml:space="preserve">รายรับอื่น ๆ</t>
  </si>
  <si>
    <t xml:space="preserve">การศึกษา</t>
  </si>
  <si>
    <r>
      <rPr>
        <sz val="10"/>
        <color rgb="FF0000FF"/>
        <rFont val="FreeSans"/>
        <family val="2"/>
      </rPr>
      <t xml:space="preserve">บันเทิง </t>
    </r>
    <r>
      <rPr>
        <sz val="10"/>
        <color rgb="FF0000FF"/>
        <rFont val="Tahoma"/>
        <family val="0"/>
        <charset val="1"/>
      </rPr>
      <t xml:space="preserve">&amp; </t>
    </r>
    <r>
      <rPr>
        <sz val="10"/>
        <color rgb="FF0000FF"/>
        <rFont val="FreeSans"/>
        <family val="2"/>
      </rPr>
      <t xml:space="preserve">สมาชิกรายเดือน</t>
    </r>
  </si>
  <si>
    <t xml:space="preserve">ครอบครัว</t>
  </si>
  <si>
    <r>
      <rPr>
        <sz val="10"/>
        <color rgb="FF0000FF"/>
        <rFont val="FreeSans"/>
        <family val="2"/>
      </rPr>
      <t xml:space="preserve">ผ่อนชำระ </t>
    </r>
    <r>
      <rPr>
        <sz val="10"/>
        <color rgb="FF0000FF"/>
        <rFont val="Tahoma"/>
        <family val="0"/>
        <charset val="1"/>
      </rPr>
      <t xml:space="preserve">/ </t>
    </r>
    <r>
      <rPr>
        <sz val="10"/>
        <color rgb="FF0000FF"/>
        <rFont val="FreeSans"/>
        <family val="2"/>
      </rPr>
      <t xml:space="preserve">หนี้</t>
    </r>
  </si>
  <si>
    <r>
      <rPr>
        <sz val="10"/>
        <color rgb="FF0000FF"/>
        <rFont val="FreeSans"/>
        <family val="2"/>
      </rPr>
      <t xml:space="preserve">ออม </t>
    </r>
    <r>
      <rPr>
        <sz val="10"/>
        <color rgb="FF0000FF"/>
        <rFont val="Tahoma"/>
        <family val="0"/>
        <charset val="1"/>
      </rPr>
      <t xml:space="preserve">&amp; </t>
    </r>
    <r>
      <rPr>
        <sz val="10"/>
        <color rgb="FF0000FF"/>
        <rFont val="FreeSans"/>
        <family val="2"/>
      </rPr>
      <t xml:space="preserve">ลงทุน</t>
    </r>
  </si>
  <si>
    <r>
      <rPr>
        <sz val="10"/>
        <color rgb="FF0000FF"/>
        <rFont val="FreeSans"/>
        <family val="2"/>
      </rPr>
      <t xml:space="preserve">ทำบุญ </t>
    </r>
    <r>
      <rPr>
        <sz val="10"/>
        <color rgb="FF0000FF"/>
        <rFont val="Tahoma"/>
        <family val="0"/>
        <charset val="1"/>
      </rPr>
      <t xml:space="preserve">/ </t>
    </r>
    <r>
      <rPr>
        <sz val="10"/>
        <color rgb="FF0000FF"/>
        <rFont val="FreeSans"/>
        <family val="2"/>
      </rPr>
      <t xml:space="preserve">ของขวัญ</t>
    </r>
  </si>
  <si>
    <t xml:space="preserve">รายจ่ายอื่น ๆ</t>
  </si>
  <si>
    <t xml:space="preserve">รวมงบต่อเดือน</t>
  </si>
  <si>
    <t xml:space="preserve">งบประมาณตั้งต้นเป็นตัวอย่าง — ปรับให้ตรงกับรายจ่ายจริงของคุณ</t>
  </si>
  <si>
    <t xml:space="preserve">บันทึกรายรับรายจ่าย</t>
  </si>
  <si>
    <r>
      <rPr>
        <sz val="10"/>
        <color rgb="FF6B645B"/>
        <rFont val="FreeSans"/>
        <family val="2"/>
      </rPr>
      <t xml:space="preserve">กรอกเฉพาะคอลัมน์ </t>
    </r>
    <r>
      <rPr>
        <sz val="10"/>
        <color rgb="FF6B645B"/>
        <rFont val="Tahoma"/>
        <family val="0"/>
        <charset val="1"/>
      </rPr>
      <t xml:space="preserve">A–G · </t>
    </r>
    <r>
      <rPr>
        <sz val="10"/>
        <color rgb="FF6B645B"/>
        <rFont val="FreeSans"/>
        <family val="2"/>
      </rPr>
      <t xml:space="preserve">คอลัมน์ </t>
    </r>
    <r>
      <rPr>
        <sz val="10"/>
        <color rgb="FF6B645B"/>
        <rFont val="Tahoma"/>
        <family val="0"/>
        <charset val="1"/>
      </rPr>
      <t xml:space="preserve">H </t>
    </r>
    <r>
      <rPr>
        <sz val="10"/>
        <color rgb="FF6B645B"/>
        <rFont val="FreeSans"/>
        <family val="2"/>
      </rPr>
      <t xml:space="preserve">เป็นต้นไปคำนวณอัตโนมัติ</t>
    </r>
  </si>
  <si>
    <t xml:space="preserve">ยอดคงเหลือล่าสุด</t>
  </si>
  <si>
    <t xml:space="preserve">วันที่</t>
  </si>
  <si>
    <t xml:space="preserve">รายการ</t>
  </si>
  <si>
    <t xml:space="preserve">หมวดหมู่</t>
  </si>
  <si>
    <t xml:space="preserve">ประเภท</t>
  </si>
  <si>
    <r>
      <rPr>
        <b val="true"/>
        <sz val="10"/>
        <color rgb="FFFFFFFF"/>
        <rFont val="FreeSans"/>
        <family val="2"/>
      </rPr>
      <t xml:space="preserve">จำนวนเงิน </t>
    </r>
    <r>
      <rPr>
        <b val="true"/>
        <sz val="10"/>
        <color rgb="FFFFFFFF"/>
        <rFont val="Tahoma"/>
        <family val="0"/>
        <charset val="1"/>
      </rPr>
      <t xml:space="preserve">(</t>
    </r>
    <r>
      <rPr>
        <b val="true"/>
        <sz val="10"/>
        <color rgb="FFFFFFFF"/>
        <rFont val="FreeSans"/>
        <family val="2"/>
      </rPr>
      <t xml:space="preserve">฿</t>
    </r>
    <r>
      <rPr>
        <b val="true"/>
        <sz val="10"/>
        <color rgb="FFFFFFFF"/>
        <rFont val="Tahoma"/>
        <family val="0"/>
        <charset val="1"/>
      </rPr>
      <t xml:space="preserve">)</t>
    </r>
  </si>
  <si>
    <r>
      <rPr>
        <b val="true"/>
        <sz val="10"/>
        <color rgb="FFFFFFFF"/>
        <rFont val="FreeSans"/>
        <family val="2"/>
      </rPr>
      <t xml:space="preserve">รายรับ </t>
    </r>
    <r>
      <rPr>
        <b val="true"/>
        <sz val="10"/>
        <color rgb="FFFFFFFF"/>
        <rFont val="Tahoma"/>
        <family val="0"/>
        <charset val="1"/>
      </rPr>
      <t xml:space="preserve">(</t>
    </r>
    <r>
      <rPr>
        <b val="true"/>
        <sz val="10"/>
        <color rgb="FFFFFFFF"/>
        <rFont val="FreeSans"/>
        <family val="2"/>
      </rPr>
      <t xml:space="preserve">฿</t>
    </r>
    <r>
      <rPr>
        <b val="true"/>
        <sz val="10"/>
        <color rgb="FFFFFFFF"/>
        <rFont val="Tahoma"/>
        <family val="0"/>
        <charset val="1"/>
      </rPr>
      <t xml:space="preserve">)</t>
    </r>
  </si>
  <si>
    <r>
      <rPr>
        <b val="true"/>
        <sz val="10"/>
        <color rgb="FFFFFFFF"/>
        <rFont val="FreeSans"/>
        <family val="2"/>
      </rPr>
      <t xml:space="preserve">รายจ่าย </t>
    </r>
    <r>
      <rPr>
        <b val="true"/>
        <sz val="10"/>
        <color rgb="FFFFFFFF"/>
        <rFont val="Tahoma"/>
        <family val="0"/>
        <charset val="1"/>
      </rPr>
      <t xml:space="preserve">(</t>
    </r>
    <r>
      <rPr>
        <b val="true"/>
        <sz val="10"/>
        <color rgb="FFFFFFFF"/>
        <rFont val="FreeSans"/>
        <family val="2"/>
      </rPr>
      <t xml:space="preserve">฿</t>
    </r>
    <r>
      <rPr>
        <b val="true"/>
        <sz val="10"/>
        <color rgb="FFFFFFFF"/>
        <rFont val="Tahoma"/>
        <family val="0"/>
        <charset val="1"/>
      </rPr>
      <t xml:space="preserve">)</t>
    </r>
  </si>
  <si>
    <r>
      <rPr>
        <b val="true"/>
        <sz val="10"/>
        <color rgb="FFFFFFFF"/>
        <rFont val="FreeSans"/>
        <family val="2"/>
      </rPr>
      <t xml:space="preserve">คงเหลือสะสม </t>
    </r>
    <r>
      <rPr>
        <b val="true"/>
        <sz val="10"/>
        <color rgb="FFFFFFFF"/>
        <rFont val="Tahoma"/>
        <family val="0"/>
        <charset val="1"/>
      </rPr>
      <t xml:space="preserve">(</t>
    </r>
    <r>
      <rPr>
        <b val="true"/>
        <sz val="10"/>
        <color rgb="FFFFFFFF"/>
        <rFont val="FreeSans"/>
        <family val="2"/>
      </rPr>
      <t xml:space="preserve">฿</t>
    </r>
    <r>
      <rPr>
        <b val="true"/>
        <sz val="10"/>
        <color rgb="FFFFFFFF"/>
        <rFont val="Tahoma"/>
        <family val="0"/>
        <charset val="1"/>
      </rPr>
      <t xml:space="preserve">)</t>
    </r>
  </si>
  <si>
    <t xml:space="preserve">เดือน</t>
  </si>
  <si>
    <t xml:space="preserve">ปี</t>
  </si>
  <si>
    <t xml:space="preserve">เงินเดือนกันยายน</t>
  </si>
  <si>
    <t xml:space="preserve">ค่าเช่าคอนโด</t>
  </si>
  <si>
    <t xml:space="preserve">ซูเปอร์มาร์เก็ต</t>
  </si>
  <si>
    <t xml:space="preserve">เติมน้ำมัน</t>
  </si>
  <si>
    <r>
      <rPr>
        <sz val="10"/>
        <color rgb="FF0000FF"/>
        <rFont val="FreeSans"/>
        <family val="2"/>
      </rPr>
      <t xml:space="preserve">ค่าไฟ </t>
    </r>
    <r>
      <rPr>
        <sz val="10"/>
        <color rgb="FF0000FF"/>
        <rFont val="Tahoma"/>
        <family val="0"/>
        <charset val="1"/>
      </rPr>
      <t xml:space="preserve">+ </t>
    </r>
    <r>
      <rPr>
        <sz val="10"/>
        <color rgb="FF0000FF"/>
        <rFont val="FreeSans"/>
        <family val="2"/>
      </rPr>
      <t xml:space="preserve">ค่าเน็ต</t>
    </r>
  </si>
  <si>
    <r>
      <rPr>
        <sz val="10"/>
        <color rgb="FF0000FF"/>
        <rFont val="FreeSans"/>
        <family val="2"/>
      </rPr>
      <t xml:space="preserve">บิลเดือน ก</t>
    </r>
    <r>
      <rPr>
        <sz val="10"/>
        <color rgb="FF0000FF"/>
        <rFont val="Tahoma"/>
        <family val="0"/>
        <charset val="1"/>
      </rPr>
      <t xml:space="preserve">.</t>
    </r>
    <r>
      <rPr>
        <sz val="10"/>
        <color rgb="FF0000FF"/>
        <rFont val="FreeSans"/>
        <family val="2"/>
      </rPr>
      <t xml:space="preserve">ย</t>
    </r>
    <r>
      <rPr>
        <sz val="10"/>
        <color rgb="FF0000FF"/>
        <rFont val="Tahoma"/>
        <family val="0"/>
        <charset val="1"/>
      </rPr>
      <t xml:space="preserve">.</t>
    </r>
  </si>
  <si>
    <t xml:space="preserve">งานออกแบบโลโก้</t>
  </si>
  <si>
    <r>
      <rPr>
        <sz val="10"/>
        <color rgb="FF0000FF"/>
        <rFont val="FreeSans"/>
        <family val="2"/>
      </rPr>
      <t xml:space="preserve">ลูกค้า </t>
    </r>
    <r>
      <rPr>
        <sz val="10"/>
        <color rgb="FF0000FF"/>
        <rFont val="Tahoma"/>
        <family val="0"/>
        <charset val="1"/>
      </rPr>
      <t xml:space="preserve">A</t>
    </r>
  </si>
  <si>
    <t xml:space="preserve">ข้าวกลางวันทั้งสัปดาห์</t>
  </si>
  <si>
    <t xml:space="preserve">Netflix + Spotify</t>
  </si>
  <si>
    <t xml:space="preserve">โอนเข้ากองทุน</t>
  </si>
  <si>
    <r>
      <rPr>
        <sz val="10"/>
        <color rgb="FF0000FF"/>
        <rFont val="Tahoma"/>
        <family val="0"/>
        <charset val="1"/>
      </rPr>
      <t xml:space="preserve">DCA </t>
    </r>
    <r>
      <rPr>
        <sz val="10"/>
        <color rgb="FF0000FF"/>
        <rFont val="FreeSans"/>
        <family val="2"/>
      </rPr>
      <t xml:space="preserve">รายเดือน</t>
    </r>
  </si>
  <si>
    <t xml:space="preserve">ซื้อรองเท้าวิ่ง</t>
  </si>
  <si>
    <t xml:space="preserve">สรุปรายเดือน</t>
  </si>
  <si>
    <r>
      <rPr>
        <b val="true"/>
        <sz val="10"/>
        <color rgb="FFFFFFFF"/>
        <rFont val="FreeSans"/>
        <family val="2"/>
      </rPr>
      <t xml:space="preserve">คงเหลือสุทธิ </t>
    </r>
    <r>
      <rPr>
        <b val="true"/>
        <sz val="10"/>
        <color rgb="FFFFFFFF"/>
        <rFont val="Tahoma"/>
        <family val="0"/>
        <charset val="1"/>
      </rPr>
      <t xml:space="preserve">(</t>
    </r>
    <r>
      <rPr>
        <b val="true"/>
        <sz val="10"/>
        <color rgb="FFFFFFFF"/>
        <rFont val="FreeSans"/>
        <family val="2"/>
      </rPr>
      <t xml:space="preserve">฿</t>
    </r>
    <r>
      <rPr>
        <b val="true"/>
        <sz val="10"/>
        <color rgb="FFFFFFFF"/>
        <rFont val="Tahoma"/>
        <family val="0"/>
        <charset val="1"/>
      </rPr>
      <t xml:space="preserve">)</t>
    </r>
  </si>
  <si>
    <t xml:space="preserve">อัตราการออม</t>
  </si>
  <si>
    <r>
      <rPr>
        <b val="true"/>
        <sz val="10"/>
        <color rgb="FFFFFFFF"/>
        <rFont val="FreeSans"/>
        <family val="2"/>
      </rPr>
      <t xml:space="preserve">ยอดคงเหลือสะสม </t>
    </r>
    <r>
      <rPr>
        <b val="true"/>
        <sz val="10"/>
        <color rgb="FFFFFFFF"/>
        <rFont val="Tahoma"/>
        <family val="0"/>
        <charset val="1"/>
      </rPr>
      <t xml:space="preserve">(</t>
    </r>
    <r>
      <rPr>
        <b val="true"/>
        <sz val="10"/>
        <color rgb="FFFFFFFF"/>
        <rFont val="FreeSans"/>
        <family val="2"/>
      </rPr>
      <t xml:space="preserve">฿</t>
    </r>
    <r>
      <rPr>
        <b val="true"/>
        <sz val="10"/>
        <color rgb="FFFFFFFF"/>
        <rFont val="Tahoma"/>
        <family val="0"/>
        <charset val="1"/>
      </rPr>
      <t xml:space="preserve">)</t>
    </r>
  </si>
  <si>
    <t xml:space="preserve">การ์ดสรุป</t>
  </si>
  <si>
    <t xml:space="preserve">มกราคม</t>
  </si>
  <si>
    <t xml:space="preserve">รายรับทั้งปี</t>
  </si>
  <si>
    <t xml:space="preserve">กุมภาพันธ์</t>
  </si>
  <si>
    <t xml:space="preserve">รายจ่ายทั้งปี</t>
  </si>
  <si>
    <t xml:space="preserve">มีนาคม</t>
  </si>
  <si>
    <t xml:space="preserve">ออมได้</t>
  </si>
  <si>
    <t xml:space="preserve">เมษายน</t>
  </si>
  <si>
    <t xml:space="preserve">พฤษภาคม</t>
  </si>
  <si>
    <t xml:space="preserve">เดือนที่ใช้จ่ายมากสุด</t>
  </si>
  <si>
    <t xml:space="preserve">มิถุนายน</t>
  </si>
  <si>
    <t xml:space="preserve">ยอดคงเหลือปัจจุบัน</t>
  </si>
  <si>
    <t xml:space="preserve">กรกฎาคม</t>
  </si>
  <si>
    <t xml:space="preserve">สิงหาคม</t>
  </si>
  <si>
    <t xml:space="preserve">กันยายน</t>
  </si>
  <si>
    <t xml:space="preserve">ตุลาคม</t>
  </si>
  <si>
    <t xml:space="preserve">พฤศจิกายน</t>
  </si>
  <si>
    <t xml:space="preserve">ธันวาคม</t>
  </si>
  <si>
    <t xml:space="preserve">รวมทั้งปี</t>
  </si>
  <si>
    <t xml:space="preserve">เฉลี่ยต่อเดือนที่มีรายการ</t>
  </si>
  <si>
    <r>
      <rPr>
        <b val="true"/>
        <sz val="16"/>
        <color rgb="FF1C1917"/>
        <rFont val="FreeSans"/>
        <family val="2"/>
      </rPr>
      <t xml:space="preserve">งบประมาณ </t>
    </r>
    <r>
      <rPr>
        <b val="true"/>
        <sz val="16"/>
        <color rgb="FF1C1917"/>
        <rFont val="Tahoma"/>
        <family val="0"/>
        <charset val="1"/>
      </rPr>
      <t xml:space="preserve">vs </t>
    </r>
    <r>
      <rPr>
        <b val="true"/>
        <sz val="16"/>
        <color rgb="FF1C1917"/>
        <rFont val="FreeSans"/>
        <family val="2"/>
      </rPr>
      <t xml:space="preserve">ใช้จริง</t>
    </r>
  </si>
  <si>
    <t xml:space="preserve">เลือกเดือนในช่องพื้นเหลือง</t>
  </si>
  <si>
    <r>
      <rPr>
        <b val="true"/>
        <sz val="10"/>
        <color rgb="FFFFFFFF"/>
        <rFont val="FreeSans"/>
        <family val="2"/>
      </rPr>
      <t xml:space="preserve">งบ </t>
    </r>
    <r>
      <rPr>
        <b val="true"/>
        <sz val="10"/>
        <color rgb="FFFFFFFF"/>
        <rFont val="Tahoma"/>
        <family val="0"/>
        <charset val="1"/>
      </rPr>
      <t xml:space="preserve">(</t>
    </r>
    <r>
      <rPr>
        <b val="true"/>
        <sz val="10"/>
        <color rgb="FFFFFFFF"/>
        <rFont val="FreeSans"/>
        <family val="2"/>
      </rPr>
      <t xml:space="preserve">฿</t>
    </r>
    <r>
      <rPr>
        <b val="true"/>
        <sz val="10"/>
        <color rgb="FFFFFFFF"/>
        <rFont val="Tahoma"/>
        <family val="0"/>
        <charset val="1"/>
      </rPr>
      <t xml:space="preserve">)</t>
    </r>
  </si>
  <si>
    <r>
      <rPr>
        <b val="true"/>
        <sz val="10"/>
        <color rgb="FFFFFFFF"/>
        <rFont val="FreeSans"/>
        <family val="2"/>
      </rPr>
      <t xml:space="preserve">ใช้จริง </t>
    </r>
    <r>
      <rPr>
        <b val="true"/>
        <sz val="10"/>
        <color rgb="FFFFFFFF"/>
        <rFont val="Tahoma"/>
        <family val="0"/>
        <charset val="1"/>
      </rPr>
      <t xml:space="preserve">(</t>
    </r>
    <r>
      <rPr>
        <b val="true"/>
        <sz val="10"/>
        <color rgb="FFFFFFFF"/>
        <rFont val="FreeSans"/>
        <family val="2"/>
      </rPr>
      <t xml:space="preserve">฿</t>
    </r>
    <r>
      <rPr>
        <b val="true"/>
        <sz val="10"/>
        <color rgb="FFFFFFFF"/>
        <rFont val="Tahoma"/>
        <family val="0"/>
        <charset val="1"/>
      </rPr>
      <t xml:space="preserve">)</t>
    </r>
  </si>
  <si>
    <r>
      <rPr>
        <b val="true"/>
        <sz val="10"/>
        <color rgb="FFFFFFFF"/>
        <rFont val="FreeSans"/>
        <family val="2"/>
      </rPr>
      <t xml:space="preserve">คงเหลือ </t>
    </r>
    <r>
      <rPr>
        <b val="true"/>
        <sz val="10"/>
        <color rgb="FFFFFFFF"/>
        <rFont val="Tahoma"/>
        <family val="0"/>
        <charset val="1"/>
      </rPr>
      <t xml:space="preserve">(</t>
    </r>
    <r>
      <rPr>
        <b val="true"/>
        <sz val="10"/>
        <color rgb="FFFFFFFF"/>
        <rFont val="FreeSans"/>
        <family val="2"/>
      </rPr>
      <t xml:space="preserve">฿</t>
    </r>
    <r>
      <rPr>
        <b val="true"/>
        <sz val="10"/>
        <color rgb="FFFFFFFF"/>
        <rFont val="Tahoma"/>
        <family val="0"/>
        <charset val="1"/>
      </rPr>
      <t xml:space="preserve">)</t>
    </r>
  </si>
  <si>
    <r>
      <rPr>
        <b val="true"/>
        <sz val="10"/>
        <color rgb="FFFFFFFF"/>
        <rFont val="Tahoma"/>
        <family val="0"/>
        <charset val="1"/>
      </rPr>
      <t xml:space="preserve">% </t>
    </r>
    <r>
      <rPr>
        <b val="true"/>
        <sz val="10"/>
        <color rgb="FFFFFFFF"/>
        <rFont val="FreeSans"/>
        <family val="2"/>
      </rPr>
      <t xml:space="preserve">ที่ใช้</t>
    </r>
  </si>
  <si>
    <t xml:space="preserve">สถานะ</t>
  </si>
  <si>
    <t xml:space="preserve">รวม</t>
  </si>
  <si>
    <t xml:space="preserve">รายจ่ายรายหมวดทั้งปี</t>
  </si>
  <si>
    <r>
      <rPr>
        <b val="true"/>
        <sz val="10"/>
        <color rgb="FFFFFFFF"/>
        <rFont val="FreeSans"/>
        <family val="2"/>
      </rPr>
      <t xml:space="preserve">ม</t>
    </r>
    <r>
      <rPr>
        <b val="true"/>
        <sz val="10"/>
        <color rgb="FFFFFFFF"/>
        <rFont val="Tahoma"/>
        <family val="0"/>
        <charset val="1"/>
      </rPr>
      <t xml:space="preserve">.</t>
    </r>
    <r>
      <rPr>
        <b val="true"/>
        <sz val="10"/>
        <color rgb="FFFFFFFF"/>
        <rFont val="FreeSans"/>
        <family val="2"/>
      </rPr>
      <t xml:space="preserve">ค</t>
    </r>
    <r>
      <rPr>
        <b val="true"/>
        <sz val="10"/>
        <color rgb="FFFFFFFF"/>
        <rFont val="Tahoma"/>
        <family val="0"/>
        <charset val="1"/>
      </rPr>
      <t xml:space="preserve">.</t>
    </r>
  </si>
  <si>
    <r>
      <rPr>
        <b val="true"/>
        <sz val="10"/>
        <color rgb="FFFFFFFF"/>
        <rFont val="FreeSans"/>
        <family val="2"/>
      </rPr>
      <t xml:space="preserve">ก</t>
    </r>
    <r>
      <rPr>
        <b val="true"/>
        <sz val="10"/>
        <color rgb="FFFFFFFF"/>
        <rFont val="Tahoma"/>
        <family val="0"/>
        <charset val="1"/>
      </rPr>
      <t xml:space="preserve">.</t>
    </r>
    <r>
      <rPr>
        <b val="true"/>
        <sz val="10"/>
        <color rgb="FFFFFFFF"/>
        <rFont val="FreeSans"/>
        <family val="2"/>
      </rPr>
      <t xml:space="preserve">พ</t>
    </r>
    <r>
      <rPr>
        <b val="true"/>
        <sz val="10"/>
        <color rgb="FFFFFFFF"/>
        <rFont val="Tahoma"/>
        <family val="0"/>
        <charset val="1"/>
      </rPr>
      <t xml:space="preserve">.</t>
    </r>
  </si>
  <si>
    <r>
      <rPr>
        <b val="true"/>
        <sz val="10"/>
        <color rgb="FFFFFFFF"/>
        <rFont val="FreeSans"/>
        <family val="2"/>
      </rPr>
      <t xml:space="preserve">มี</t>
    </r>
    <r>
      <rPr>
        <b val="true"/>
        <sz val="10"/>
        <color rgb="FFFFFFFF"/>
        <rFont val="Tahoma"/>
        <family val="0"/>
        <charset val="1"/>
      </rPr>
      <t xml:space="preserve">.</t>
    </r>
    <r>
      <rPr>
        <b val="true"/>
        <sz val="10"/>
        <color rgb="FFFFFFFF"/>
        <rFont val="FreeSans"/>
        <family val="2"/>
      </rPr>
      <t xml:space="preserve">ค</t>
    </r>
    <r>
      <rPr>
        <b val="true"/>
        <sz val="10"/>
        <color rgb="FFFFFFFF"/>
        <rFont val="Tahoma"/>
        <family val="0"/>
        <charset val="1"/>
      </rPr>
      <t xml:space="preserve">.</t>
    </r>
  </si>
  <si>
    <r>
      <rPr>
        <b val="true"/>
        <sz val="10"/>
        <color rgb="FFFFFFFF"/>
        <rFont val="FreeSans"/>
        <family val="2"/>
      </rPr>
      <t xml:space="preserve">เม</t>
    </r>
    <r>
      <rPr>
        <b val="true"/>
        <sz val="10"/>
        <color rgb="FFFFFFFF"/>
        <rFont val="Tahoma"/>
        <family val="0"/>
        <charset val="1"/>
      </rPr>
      <t xml:space="preserve">.</t>
    </r>
    <r>
      <rPr>
        <b val="true"/>
        <sz val="10"/>
        <color rgb="FFFFFFFF"/>
        <rFont val="FreeSans"/>
        <family val="2"/>
      </rPr>
      <t xml:space="preserve">ย</t>
    </r>
    <r>
      <rPr>
        <b val="true"/>
        <sz val="10"/>
        <color rgb="FFFFFFFF"/>
        <rFont val="Tahoma"/>
        <family val="0"/>
        <charset val="1"/>
      </rPr>
      <t xml:space="preserve">.</t>
    </r>
  </si>
  <si>
    <r>
      <rPr>
        <b val="true"/>
        <sz val="10"/>
        <color rgb="FFFFFFFF"/>
        <rFont val="FreeSans"/>
        <family val="2"/>
      </rPr>
      <t xml:space="preserve">พ</t>
    </r>
    <r>
      <rPr>
        <b val="true"/>
        <sz val="10"/>
        <color rgb="FFFFFFFF"/>
        <rFont val="Tahoma"/>
        <family val="0"/>
        <charset val="1"/>
      </rPr>
      <t xml:space="preserve">.</t>
    </r>
    <r>
      <rPr>
        <b val="true"/>
        <sz val="10"/>
        <color rgb="FFFFFFFF"/>
        <rFont val="FreeSans"/>
        <family val="2"/>
      </rPr>
      <t xml:space="preserve">ค</t>
    </r>
    <r>
      <rPr>
        <b val="true"/>
        <sz val="10"/>
        <color rgb="FFFFFFFF"/>
        <rFont val="Tahoma"/>
        <family val="0"/>
        <charset val="1"/>
      </rPr>
      <t xml:space="preserve">.</t>
    </r>
  </si>
  <si>
    <r>
      <rPr>
        <b val="true"/>
        <sz val="10"/>
        <color rgb="FFFFFFFF"/>
        <rFont val="FreeSans"/>
        <family val="2"/>
      </rPr>
      <t xml:space="preserve">มิ</t>
    </r>
    <r>
      <rPr>
        <b val="true"/>
        <sz val="10"/>
        <color rgb="FFFFFFFF"/>
        <rFont val="Tahoma"/>
        <family val="0"/>
        <charset val="1"/>
      </rPr>
      <t xml:space="preserve">.</t>
    </r>
    <r>
      <rPr>
        <b val="true"/>
        <sz val="10"/>
        <color rgb="FFFFFFFF"/>
        <rFont val="FreeSans"/>
        <family val="2"/>
      </rPr>
      <t xml:space="preserve">ย</t>
    </r>
    <r>
      <rPr>
        <b val="true"/>
        <sz val="10"/>
        <color rgb="FFFFFFFF"/>
        <rFont val="Tahoma"/>
        <family val="0"/>
        <charset val="1"/>
      </rPr>
      <t xml:space="preserve">.</t>
    </r>
  </si>
  <si>
    <r>
      <rPr>
        <b val="true"/>
        <sz val="10"/>
        <color rgb="FFFFFFFF"/>
        <rFont val="FreeSans"/>
        <family val="2"/>
      </rPr>
      <t xml:space="preserve">ก</t>
    </r>
    <r>
      <rPr>
        <b val="true"/>
        <sz val="10"/>
        <color rgb="FFFFFFFF"/>
        <rFont val="Tahoma"/>
        <family val="0"/>
        <charset val="1"/>
      </rPr>
      <t xml:space="preserve">.</t>
    </r>
    <r>
      <rPr>
        <b val="true"/>
        <sz val="10"/>
        <color rgb="FFFFFFFF"/>
        <rFont val="FreeSans"/>
        <family val="2"/>
      </rPr>
      <t xml:space="preserve">ค</t>
    </r>
    <r>
      <rPr>
        <b val="true"/>
        <sz val="10"/>
        <color rgb="FFFFFFFF"/>
        <rFont val="Tahoma"/>
        <family val="0"/>
        <charset val="1"/>
      </rPr>
      <t xml:space="preserve">.</t>
    </r>
  </si>
  <si>
    <r>
      <rPr>
        <b val="true"/>
        <sz val="10"/>
        <color rgb="FFFFFFFF"/>
        <rFont val="FreeSans"/>
        <family val="2"/>
      </rPr>
      <t xml:space="preserve">ส</t>
    </r>
    <r>
      <rPr>
        <b val="true"/>
        <sz val="10"/>
        <color rgb="FFFFFFFF"/>
        <rFont val="Tahoma"/>
        <family val="0"/>
        <charset val="1"/>
      </rPr>
      <t xml:space="preserve">.</t>
    </r>
    <r>
      <rPr>
        <b val="true"/>
        <sz val="10"/>
        <color rgb="FFFFFFFF"/>
        <rFont val="FreeSans"/>
        <family val="2"/>
      </rPr>
      <t xml:space="preserve">ค</t>
    </r>
    <r>
      <rPr>
        <b val="true"/>
        <sz val="10"/>
        <color rgb="FFFFFFFF"/>
        <rFont val="Tahoma"/>
        <family val="0"/>
        <charset val="1"/>
      </rPr>
      <t xml:space="preserve">.</t>
    </r>
  </si>
  <si>
    <r>
      <rPr>
        <b val="true"/>
        <sz val="10"/>
        <color rgb="FFFFFFFF"/>
        <rFont val="FreeSans"/>
        <family val="2"/>
      </rPr>
      <t xml:space="preserve">ก</t>
    </r>
    <r>
      <rPr>
        <b val="true"/>
        <sz val="10"/>
        <color rgb="FFFFFFFF"/>
        <rFont val="Tahoma"/>
        <family val="0"/>
        <charset val="1"/>
      </rPr>
      <t xml:space="preserve">.</t>
    </r>
    <r>
      <rPr>
        <b val="true"/>
        <sz val="10"/>
        <color rgb="FFFFFFFF"/>
        <rFont val="FreeSans"/>
        <family val="2"/>
      </rPr>
      <t xml:space="preserve">ย</t>
    </r>
    <r>
      <rPr>
        <b val="true"/>
        <sz val="10"/>
        <color rgb="FFFFFFFF"/>
        <rFont val="Tahoma"/>
        <family val="0"/>
        <charset val="1"/>
      </rPr>
      <t xml:space="preserve">.</t>
    </r>
  </si>
  <si>
    <r>
      <rPr>
        <b val="true"/>
        <sz val="10"/>
        <color rgb="FFFFFFFF"/>
        <rFont val="FreeSans"/>
        <family val="2"/>
      </rPr>
      <t xml:space="preserve">ต</t>
    </r>
    <r>
      <rPr>
        <b val="true"/>
        <sz val="10"/>
        <color rgb="FFFFFFFF"/>
        <rFont val="Tahoma"/>
        <family val="0"/>
        <charset val="1"/>
      </rPr>
      <t xml:space="preserve">.</t>
    </r>
    <r>
      <rPr>
        <b val="true"/>
        <sz val="10"/>
        <color rgb="FFFFFFFF"/>
        <rFont val="FreeSans"/>
        <family val="2"/>
      </rPr>
      <t xml:space="preserve">ค</t>
    </r>
    <r>
      <rPr>
        <b val="true"/>
        <sz val="10"/>
        <color rgb="FFFFFFFF"/>
        <rFont val="Tahoma"/>
        <family val="0"/>
        <charset val="1"/>
      </rPr>
      <t xml:space="preserve">.</t>
    </r>
  </si>
  <si>
    <r>
      <rPr>
        <b val="true"/>
        <sz val="10"/>
        <color rgb="FFFFFFFF"/>
        <rFont val="FreeSans"/>
        <family val="2"/>
      </rPr>
      <t xml:space="preserve">พ</t>
    </r>
    <r>
      <rPr>
        <b val="true"/>
        <sz val="10"/>
        <color rgb="FFFFFFFF"/>
        <rFont val="Tahoma"/>
        <family val="0"/>
        <charset val="1"/>
      </rPr>
      <t xml:space="preserve">.</t>
    </r>
    <r>
      <rPr>
        <b val="true"/>
        <sz val="10"/>
        <color rgb="FFFFFFFF"/>
        <rFont val="FreeSans"/>
        <family val="2"/>
      </rPr>
      <t xml:space="preserve">ย</t>
    </r>
    <r>
      <rPr>
        <b val="true"/>
        <sz val="10"/>
        <color rgb="FFFFFFFF"/>
        <rFont val="Tahoma"/>
        <family val="0"/>
        <charset val="1"/>
      </rPr>
      <t xml:space="preserve">.</t>
    </r>
  </si>
  <si>
    <r>
      <rPr>
        <b val="true"/>
        <sz val="10"/>
        <color rgb="FFFFFFFF"/>
        <rFont val="FreeSans"/>
        <family val="2"/>
      </rPr>
      <t xml:space="preserve">ธ</t>
    </r>
    <r>
      <rPr>
        <b val="true"/>
        <sz val="10"/>
        <color rgb="FFFFFFFF"/>
        <rFont val="Tahoma"/>
        <family val="0"/>
        <charset val="1"/>
      </rPr>
      <t xml:space="preserve">.</t>
    </r>
    <r>
      <rPr>
        <b val="true"/>
        <sz val="10"/>
        <color rgb="FFFFFFFF"/>
        <rFont val="FreeSans"/>
        <family val="2"/>
      </rPr>
      <t xml:space="preserve">ค</t>
    </r>
    <r>
      <rPr>
        <b val="true"/>
        <sz val="10"/>
        <color rgb="FFFFFFFF"/>
        <rFont val="Tahoma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</si>
</sst>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"/>
    <numFmt numFmtId="166" formatCode="General"/>
    <numFmt numFmtId="167" formatCode="#,##0.00;\(#,##0.00\);\-"/>
    <numFmt numFmtId="168" formatCode="dd/mm/yyyy"/>
    <numFmt numFmtId="169" formatCode="0.0%;\-0.0%;\-"/>
    <numFmt numFmtId="170" formatCode="@"/>
    <numFmt numFmtId="171" formatCode="#,##0"/>
    <numFmt numFmtId="172" formatCode="&quot;เดือนที่ &quot;0"/>
    <numFmt numFmtId="173" formatCode="#,##0;\(#,##0\);\-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C1917"/>
      <name val="FreeSans"/>
      <family val="2"/>
    </font>
    <font>
      <sz val="10"/>
      <color rgb="FF6B645B"/>
      <name val="FreeSans"/>
      <family val="2"/>
    </font>
    <font>
      <b val="true"/>
      <sz val="12"/>
      <color rgb="FF1C1917"/>
      <name val="FreeSans"/>
      <family val="2"/>
    </font>
    <font>
      <b val="true"/>
      <sz val="10"/>
      <name val="Tahoma"/>
      <family val="0"/>
      <charset val="1"/>
    </font>
    <font>
      <b val="true"/>
      <sz val="10"/>
      <name val="FreeSans"/>
      <family val="2"/>
    </font>
    <font>
      <sz val="10"/>
      <name val="FreeSans"/>
      <family val="2"/>
    </font>
    <font>
      <sz val="10"/>
      <name val="Tahoma"/>
      <family val="0"/>
      <charset val="1"/>
    </font>
    <font>
      <sz val="10"/>
      <color rgb="FF0000FF"/>
      <name val="FreeSans"/>
      <family val="2"/>
    </font>
    <font>
      <sz val="10"/>
      <color rgb="FF008000"/>
      <name val="FreeSans"/>
      <family val="2"/>
    </font>
    <font>
      <sz val="10"/>
      <color rgb="FF0000FF"/>
      <name val="Tahoma"/>
      <family val="0"/>
      <charset val="1"/>
    </font>
    <font>
      <sz val="10"/>
      <color rgb="FF6B645B"/>
      <name val="Tahoma"/>
      <family val="0"/>
      <charset val="1"/>
    </font>
    <font>
      <b val="true"/>
      <sz val="10"/>
      <color rgb="FFFFFFFF"/>
      <name val="FreeSans"/>
      <family val="2"/>
    </font>
    <font>
      <b val="true"/>
      <sz val="10"/>
      <color rgb="FFFFFFFF"/>
      <name val="Tahoma"/>
      <family val="0"/>
      <charset val="1"/>
    </font>
    <font>
      <sz val="10"/>
      <name val="Arial"/>
      <family val="2"/>
    </font>
    <font>
      <b val="true"/>
      <sz val="12"/>
      <name val="Tahoma"/>
      <family val="0"/>
      <charset val="1"/>
    </font>
    <font>
      <b val="true"/>
      <sz val="11"/>
      <color rgb="FF1C1917"/>
      <name val="FreeSans"/>
      <family val="2"/>
    </font>
    <font>
      <sz val="10"/>
      <color rgb="FF008000"/>
      <name val="Tahoma"/>
      <family val="0"/>
      <charset val="1"/>
    </font>
    <font>
      <b val="true"/>
      <sz val="18"/>
      <color rgb="FF0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FreeSans"/>
      <family val="2"/>
    </font>
    <font>
      <b val="true"/>
      <sz val="16"/>
      <color rgb="FF1C1917"/>
      <name val="Tahom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8B46A"/>
        <bgColor rgb="FFF79646"/>
      </patternFill>
    </fill>
    <fill>
      <patternFill patternType="solid">
        <fgColor rgb="FFFFF9DB"/>
        <bgColor rgb="FFFBF7EE"/>
      </patternFill>
    </fill>
    <fill>
      <patternFill patternType="solid">
        <fgColor rgb="FF1C1917"/>
        <bgColor rgb="FF333333"/>
      </patternFill>
    </fill>
    <fill>
      <patternFill patternType="solid">
        <fgColor rgb="FFF3EBD8"/>
        <bgColor rgb="FFFEF3C7"/>
      </patternFill>
    </fill>
    <fill>
      <patternFill patternType="solid">
        <fgColor rgb="FFFBF7EE"/>
        <bgColor rgb="FFFFF9D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6D3D1"/>
      </left>
      <right style="thin">
        <color rgb="FFD6D3D1"/>
      </right>
      <top style="thin">
        <color rgb="FFD6D3D1"/>
      </top>
      <bottom style="thin">
        <color rgb="FFD6D3D1"/>
      </bottom>
      <diagonal/>
    </border>
    <border diagonalUp="false" diagonalDown="false">
      <left/>
      <right/>
      <top style="medium">
        <color rgb="FF1C191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C1917"/>
          <bgColor rgb="FF000000"/>
        </patternFill>
      </fill>
    </dxf>
    <dxf>
      <fill>
        <patternFill patternType="solid">
          <fgColor rgb="FFFFF9D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5803D"/>
          <bgColor rgb="FF000000"/>
        </patternFill>
      </fill>
    </dxf>
    <dxf>
      <fill>
        <patternFill patternType="solid">
          <fgColor rgb="FFB91C1C"/>
          <bgColor rgb="FF000000"/>
        </patternFill>
      </fill>
    </dxf>
    <dxf>
      <font>
        <name val="Tahoma"/>
        <charset val="1"/>
        <family val="0"/>
        <b val="1"/>
        <color rgb="FF15803D"/>
      </font>
    </dxf>
    <dxf>
      <font>
        <name val="Tahoma"/>
        <charset val="1"/>
        <family val="0"/>
        <b val="1"/>
        <color rgb="FFB91C1C"/>
      </font>
    </dxf>
    <dxf>
      <fill>
        <patternFill>
          <bgColor rgb="FFFECACA"/>
        </patternFill>
      </fill>
    </dxf>
    <dxf>
      <font>
        <name val="Tahoma"/>
        <charset val="1"/>
        <family val="0"/>
        <b val="1"/>
        <color rgb="FF991B1B"/>
      </font>
      <fill>
        <patternFill>
          <bgColor rgb="FFFECACA"/>
        </patternFill>
      </fill>
    </dxf>
    <dxf>
      <font>
        <name val="Tahoma"/>
        <charset val="1"/>
        <family val="0"/>
        <b val="1"/>
        <color rgb="FF92400E"/>
      </font>
      <fill>
        <patternFill>
          <bgColor rgb="FFFEF3C7"/>
        </patternFill>
      </fill>
    </dxf>
    <dxf>
      <font>
        <name val="Tahoma"/>
        <charset val="1"/>
        <family val="0"/>
        <color rgb="FF15803D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008000"/>
      <rgbColor rgb="FF000080"/>
      <rgbColor rgb="FF6B645B"/>
      <rgbColor rgb="FF800080"/>
      <rgbColor rgb="FF15803D"/>
      <rgbColor rgb="FFAABAD7"/>
      <rgbColor rgb="FF878787"/>
      <rgbColor rgb="FF9999FF"/>
      <rgbColor rgb="FF9F423F"/>
      <rgbColor rgb="FFFFF9DB"/>
      <rgbColor rgb="FFFBF7EE"/>
      <rgbColor rgb="FF660066"/>
      <rgbColor rgb="FFCC7C3A"/>
      <rgbColor rgb="FF0066CC"/>
      <rgbColor rgb="FFD6D3D1"/>
      <rgbColor rgb="FF000080"/>
      <rgbColor rgb="FFFF00FF"/>
      <rgbColor rgb="FFFFFF00"/>
      <rgbColor rgb="FF00FFFF"/>
      <rgbColor rgb="FF800080"/>
      <rgbColor rgb="FFB91C1C"/>
      <rgbColor rgb="FF4F81BD"/>
      <rgbColor rgb="FF0000FF"/>
      <rgbColor rgb="FF00CCFF"/>
      <rgbColor rgb="FFD9D9D9"/>
      <rgbColor rgb="FFF3EBD8"/>
      <rgbColor rgb="FFFEF3C7"/>
      <rgbColor rgb="FF99CCFF"/>
      <rgbColor rgb="FFD8B46A"/>
      <rgbColor rgb="FFCC99FF"/>
      <rgbColor rgb="FFFECACA"/>
      <rgbColor rgb="FF416A9C"/>
      <rgbColor rgb="FF4BACC6"/>
      <rgbColor rgb="FF9BBB59"/>
      <rgbColor rgb="FFFFCC00"/>
      <rgbColor rgb="FFF79646"/>
      <rgbColor rgb="FFFF6600"/>
      <rgbColor rgb="FF8064A2"/>
      <rgbColor rgb="FF809B49"/>
      <rgbColor rgb="FF003366"/>
      <rgbColor rgb="FF3E8EA4"/>
      <rgbColor rgb="FF003300"/>
      <rgbColor rgb="FF1C1917"/>
      <rgbColor rgb="FF92400E"/>
      <rgbColor rgb="FFC0504D"/>
      <rgbColor rgb="FF6A528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รายรับ vs รายจ่าย รายเดือน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สรุปรายเดือน!B4</c:f>
              <c:strCache>
                <c:ptCount val="1"/>
                <c:pt idx="0">
                  <c:v>รายรับ (฿)</c:v>
                </c:pt>
              </c:strCache>
            </c:strRef>
          </c:tx>
          <c:spPr>
            <a:solidFill>
              <a:srgbClr val="15803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สรุปรายเดือน!$A$5:$A$16</c:f>
              <c:strCache>
                <c:ptCount val="12"/>
                <c:pt idx="0">
                  <c:v>มกราคม</c:v>
                </c:pt>
                <c:pt idx="1">
                  <c:v>กุมภาพันธ์</c:v>
                </c:pt>
                <c:pt idx="2">
                  <c:v>มีนาคม</c:v>
                </c:pt>
                <c:pt idx="3">
                  <c:v>เมษายน</c:v>
                </c:pt>
                <c:pt idx="4">
                  <c:v>พฤษภาคม</c:v>
                </c:pt>
                <c:pt idx="5">
                  <c:v>มิถุนายน</c:v>
                </c:pt>
                <c:pt idx="6">
                  <c:v>กรกฎาคม</c:v>
                </c:pt>
                <c:pt idx="7">
                  <c:v>สิงหาคม</c:v>
                </c:pt>
                <c:pt idx="8">
                  <c:v>กันยายน</c:v>
                </c:pt>
                <c:pt idx="9">
                  <c:v>ตุลาคม</c:v>
                </c:pt>
                <c:pt idx="10">
                  <c:v>พฤศจิกายน</c:v>
                </c:pt>
                <c:pt idx="11">
                  <c:v>ธันวาคม</c:v>
                </c:pt>
              </c:strCache>
            </c:strRef>
          </c:cat>
          <c:val>
            <c:numRef>
              <c:f>สรุปรายเดือน!$B$5:$B$16</c:f>
              <c:numCache>
                <c:formatCode>#,##0.00;\(#,##0.00\);\-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32000</c:v>
                </c:pt>
                <c:pt idx="9">
                  <c:v>4500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สรุปรายเดือน!C4</c:f>
              <c:strCache>
                <c:ptCount val="1"/>
                <c:pt idx="0">
                  <c:v>รายจ่าย (฿)</c:v>
                </c:pt>
              </c:strCache>
            </c:strRef>
          </c:tx>
          <c:spPr>
            <a:solidFill>
              <a:srgbClr val="d8b46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สรุปรายเดือน!$A$5:$A$16</c:f>
              <c:strCache>
                <c:ptCount val="12"/>
                <c:pt idx="0">
                  <c:v>มกราคม</c:v>
                </c:pt>
                <c:pt idx="1">
                  <c:v>กุมภาพันธ์</c:v>
                </c:pt>
                <c:pt idx="2">
                  <c:v>มีนาคม</c:v>
                </c:pt>
                <c:pt idx="3">
                  <c:v>เมษายน</c:v>
                </c:pt>
                <c:pt idx="4">
                  <c:v>พฤษภาคม</c:v>
                </c:pt>
                <c:pt idx="5">
                  <c:v>มิถุนายน</c:v>
                </c:pt>
                <c:pt idx="6">
                  <c:v>กรกฎาคม</c:v>
                </c:pt>
                <c:pt idx="7">
                  <c:v>สิงหาคม</c:v>
                </c:pt>
                <c:pt idx="8">
                  <c:v>กันยายน</c:v>
                </c:pt>
                <c:pt idx="9">
                  <c:v>ตุลาคม</c:v>
                </c:pt>
                <c:pt idx="10">
                  <c:v>พฤศจิกายน</c:v>
                </c:pt>
                <c:pt idx="11">
                  <c:v>ธันวาคม</c:v>
                </c:pt>
              </c:strCache>
            </c:strRef>
          </c:cat>
          <c:val>
            <c:numRef>
              <c:f>สรุปรายเดือน!$C$5:$C$16</c:f>
              <c:numCache>
                <c:formatCode>#,##0.00;\(#,##0.00\);\-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10650</c:v>
                </c:pt>
                <c:pt idx="9">
                  <c:v>10468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80267531"/>
        <c:axId val="77327520"/>
      </c:barChart>
      <c:catAx>
        <c:axId val="802675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327520"/>
        <c:crosses val="autoZero"/>
        <c:auto val="1"/>
        <c:lblAlgn val="ctr"/>
        <c:lblOffset val="100"/>
        <c:noMultiLvlLbl val="0"/>
      </c:catAx>
      <c:valAx>
        <c:axId val="773275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บาท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26753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สัดส่วนรายจ่ายทั้งปีตามหมวด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16a9c"/>
              </a:solidFill>
              <a:ln w="0">
                <a:noFill/>
              </a:ln>
            </c:spPr>
          </c:dPt>
          <c:dPt>
            <c:idx val="1"/>
            <c:spPr>
              <a:solidFill>
                <a:srgbClr val="9f423f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09b4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6a5286"/>
              </a:solidFill>
              <a:ln w="0">
                <a:noFill/>
              </a:ln>
            </c:spPr>
          </c:dPt>
          <c:dPt>
            <c:idx val="4"/>
            <c:spPr>
              <a:solidFill>
                <a:srgbClr val="3e8ea4"/>
              </a:solidFill>
              <a:ln w="0">
                <a:noFill/>
              </a:ln>
            </c:spPr>
          </c:dPt>
          <c:dPt>
            <c:idx val="5"/>
            <c:spPr>
              <a:solidFill>
                <a:srgbClr val="cc7c3a"/>
              </a:solidFill>
              <a:ln w="0">
                <a:noFill/>
              </a:ln>
            </c:spPr>
          </c:dPt>
          <c:dPt>
            <c:idx val="6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7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8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9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10"/>
            <c:spPr>
              <a:solidFill>
                <a:srgbClr val="4bacc6"/>
              </a:solidFill>
              <a:ln w="0">
                <a:noFill/>
              </a:ln>
            </c:spPr>
          </c:dPt>
          <c:dPt>
            <c:idx val="11"/>
            <c:spPr>
              <a:solidFill>
                <a:srgbClr val="f79646"/>
              </a:solidFill>
              <a:ln w="0">
                <a:noFill/>
              </a:ln>
            </c:spPr>
          </c:dPt>
          <c:dPt>
            <c:idx val="12"/>
            <c:spPr>
              <a:solidFill>
                <a:srgbClr val="aabad7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งบประมาณ!$A$35:$A$47</c:f>
              <c:strCache>
                <c:ptCount val="13"/>
                <c:pt idx="0">
                  <c:v>อาหาร &amp; เครื่องดื่ม</c:v>
                </c:pt>
                <c:pt idx="1">
                  <c:v>ที่พัก / ค่าเช่า</c:v>
                </c:pt>
                <c:pt idx="2">
                  <c:v>ค่าน้ำ ค่าไฟ ค่าเน็ต</c:v>
                </c:pt>
                <c:pt idx="3">
                  <c:v>เดินทาง / น้ำมัน</c:v>
                </c:pt>
                <c:pt idx="4">
                  <c:v>ช้อปปิ้ง</c:v>
                </c:pt>
                <c:pt idx="5">
                  <c:v>สุขภาพ &amp; ประกัน</c:v>
                </c:pt>
                <c:pt idx="6">
                  <c:v>การศึกษา</c:v>
                </c:pt>
                <c:pt idx="7">
                  <c:v>บันเทิง &amp; สมาชิกรายเดือน</c:v>
                </c:pt>
                <c:pt idx="8">
                  <c:v>ครอบครัว</c:v>
                </c:pt>
                <c:pt idx="9">
                  <c:v>ผ่อนชำระ / หนี้</c:v>
                </c:pt>
                <c:pt idx="10">
                  <c:v>ออม &amp; ลงทุน</c:v>
                </c:pt>
                <c:pt idx="11">
                  <c:v>ทำบุญ / ของขวัญ</c:v>
                </c:pt>
                <c:pt idx="12">
                  <c:v>รายจ่ายอื่น ๆ</c:v>
                </c:pt>
              </c:strCache>
            </c:strRef>
          </c:cat>
          <c:val>
            <c:numRef>
              <c:f>งบประมาณ!$N$35:$N$47</c:f>
              <c:numCache>
                <c:formatCode>#,##0;\(#,##0\);\-</c:formatCode>
                <c:ptCount val="13"/>
                <c:pt idx="0">
                  <c:v>2100</c:v>
                </c:pt>
                <c:pt idx="1">
                  <c:v>8000</c:v>
                </c:pt>
                <c:pt idx="2">
                  <c:v>1380</c:v>
                </c:pt>
                <c:pt idx="3">
                  <c:v>1200</c:v>
                </c:pt>
                <c:pt idx="4">
                  <c:v>2890</c:v>
                </c:pt>
                <c:pt idx="5">
                  <c:v>0</c:v>
                </c:pt>
                <c:pt idx="6">
                  <c:v>0</c:v>
                </c:pt>
                <c:pt idx="7">
                  <c:v>548</c:v>
                </c:pt>
                <c:pt idx="8">
                  <c:v>0</c:v>
                </c:pt>
                <c:pt idx="9">
                  <c:v>0</c:v>
                </c:pt>
                <c:pt idx="10">
                  <c:v>5000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19</xdr:row>
      <xdr:rowOff>131040</xdr:rowOff>
    </xdr:from>
    <xdr:to>
      <xdr:col>7</xdr:col>
      <xdr:colOff>236880</xdr:colOff>
      <xdr:row>36</xdr:row>
      <xdr:rowOff>132120</xdr:rowOff>
    </xdr:to>
    <xdr:graphicFrame>
      <xdr:nvGraphicFramePr>
        <xdr:cNvPr id="0" name="Chart 1"/>
        <xdr:cNvGraphicFramePr/>
      </xdr:nvGraphicFramePr>
      <xdr:xfrm>
        <a:off x="0" y="400068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125640</xdr:rowOff>
    </xdr:from>
    <xdr:to>
      <xdr:col>13</xdr:col>
      <xdr:colOff>810360</xdr:colOff>
      <xdr:row>17</xdr:row>
      <xdr:rowOff>126720</xdr:rowOff>
    </xdr:to>
    <xdr:graphicFrame>
      <xdr:nvGraphicFramePr>
        <xdr:cNvPr id="1" name="Chart 1"/>
        <xdr:cNvGraphicFramePr/>
      </xdr:nvGraphicFramePr>
      <xdr:xfrm>
        <a:off x="7330320" y="38088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C1917"/>
    <pageSetUpPr fitToPage="true"/>
  </sheetPr>
  <dimension ref="A1:B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5" t="s">
        <v>3</v>
      </c>
      <c r="B5" s="6" t="s">
        <v>4</v>
      </c>
    </row>
    <row r="6" customFormat="false" ht="15" hidden="false" customHeight="false" outlineLevel="0" collapsed="false">
      <c r="A6" s="5" t="s">
        <v>5</v>
      </c>
      <c r="B6" s="6" t="s">
        <v>6</v>
      </c>
    </row>
    <row r="7" customFormat="false" ht="15" hidden="false" customHeight="false" outlineLevel="0" collapsed="false">
      <c r="A7" s="5" t="s">
        <v>7</v>
      </c>
      <c r="B7" s="6" t="s">
        <v>8</v>
      </c>
    </row>
    <row r="8" customFormat="false" ht="15" hidden="false" customHeight="false" outlineLevel="0" collapsed="false">
      <c r="A8" s="5" t="s">
        <v>9</v>
      </c>
      <c r="B8" s="6" t="s">
        <v>10</v>
      </c>
    </row>
    <row r="10" customFormat="false" ht="15" hidden="false" customHeight="false" outlineLevel="0" collapsed="false">
      <c r="A10" s="3" t="s">
        <v>11</v>
      </c>
      <c r="B10" s="4"/>
    </row>
    <row r="11" customFormat="false" ht="15" hidden="false" customHeight="false" outlineLevel="0" collapsed="false">
      <c r="A11" s="7" t="s">
        <v>12</v>
      </c>
      <c r="B11" s="6" t="s">
        <v>13</v>
      </c>
    </row>
    <row r="12" customFormat="false" ht="15" hidden="false" customHeight="false" outlineLevel="0" collapsed="false">
      <c r="A12" s="8" t="s">
        <v>14</v>
      </c>
      <c r="B12" s="6" t="s">
        <v>15</v>
      </c>
    </row>
    <row r="13" customFormat="false" ht="15" hidden="false" customHeight="false" outlineLevel="0" collapsed="false">
      <c r="A13" s="9" t="s">
        <v>16</v>
      </c>
      <c r="B13" s="6" t="s">
        <v>17</v>
      </c>
    </row>
    <row r="15" customFormat="false" ht="15" hidden="false" customHeight="false" outlineLevel="0" collapsed="false">
      <c r="A15" s="3" t="s">
        <v>18</v>
      </c>
      <c r="B15" s="4"/>
    </row>
    <row r="16" customFormat="false" ht="15" hidden="false" customHeight="false" outlineLevel="0" collapsed="false">
      <c r="A16" s="8" t="s">
        <v>19</v>
      </c>
      <c r="B16" s="6" t="s">
        <v>20</v>
      </c>
    </row>
    <row r="17" customFormat="false" ht="15" hidden="false" customHeight="false" outlineLevel="0" collapsed="false">
      <c r="A17" s="8" t="s">
        <v>21</v>
      </c>
      <c r="B17" s="6" t="s">
        <v>22</v>
      </c>
    </row>
    <row r="18" customFormat="false" ht="15" hidden="false" customHeight="false" outlineLevel="0" collapsed="false">
      <c r="A18" s="8" t="s">
        <v>23</v>
      </c>
      <c r="B18" s="6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C1917"/>
    <pageSetUpPr fitToPage="true"/>
  </sheetPr>
  <dimension ref="A1:H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4" min="4" style="0" width="18"/>
    <col collapsed="false" customWidth="true" hidden="false" outlineLevel="0" max="5" min="5" style="0" width="3"/>
    <col collapsed="false" customWidth="true" hidden="false" outlineLevel="0" max="6" min="6" style="0" width="20"/>
    <col collapsed="false" customWidth="true" hidden="false" outlineLevel="0" max="7" min="7" style="0" width="3"/>
    <col collapsed="false" customWidth="true" hidden="false" outlineLevel="0" max="8" min="8" style="0" width="30"/>
  </cols>
  <sheetData>
    <row r="1" customFormat="false" ht="19.7" hidden="false" customHeight="false" outlineLevel="0" collapsed="false">
      <c r="A1" s="1" t="s">
        <v>25</v>
      </c>
    </row>
    <row r="2" customFormat="false" ht="15" hidden="false" customHeight="false" outlineLevel="0" collapsed="false">
      <c r="A2" s="2" t="s">
        <v>26</v>
      </c>
    </row>
    <row r="3" customFormat="false" ht="15" hidden="false" customHeight="false" outlineLevel="0" collapsed="false">
      <c r="A3" s="8" t="s">
        <v>27</v>
      </c>
      <c r="B3" s="10" t="n">
        <v>2026</v>
      </c>
      <c r="C3" s="2" t="s">
        <v>28</v>
      </c>
      <c r="D3" s="11" t="n">
        <f aca="false">B3+543</f>
        <v>2569</v>
      </c>
    </row>
    <row r="4" customFormat="false" ht="15" hidden="false" customHeight="false" outlineLevel="0" collapsed="false">
      <c r="A4" s="8" t="s">
        <v>29</v>
      </c>
      <c r="B4" s="12" t="n">
        <v>15000</v>
      </c>
    </row>
    <row r="5" customFormat="false" ht="15" hidden="false" customHeight="false" outlineLevel="0" collapsed="false">
      <c r="A5" s="2" t="s">
        <v>30</v>
      </c>
    </row>
    <row r="6" customFormat="false" ht="30" hidden="false" customHeight="true" outlineLevel="0" collapsed="false">
      <c r="A6" s="13" t="s">
        <v>31</v>
      </c>
      <c r="C6" s="13" t="s">
        <v>32</v>
      </c>
      <c r="D6" s="13" t="s">
        <v>33</v>
      </c>
      <c r="F6" s="13" t="s">
        <v>34</v>
      </c>
      <c r="H6" s="13" t="s">
        <v>35</v>
      </c>
    </row>
    <row r="7" customFormat="false" ht="15" hidden="false" customHeight="false" outlineLevel="0" collapsed="false">
      <c r="A7" s="14" t="s">
        <v>36</v>
      </c>
      <c r="C7" s="14" t="s">
        <v>37</v>
      </c>
      <c r="D7" s="12" t="n">
        <v>6000</v>
      </c>
      <c r="F7" s="14" t="s">
        <v>38</v>
      </c>
      <c r="H7" s="11" t="str">
        <f aca="false">IF(ROWS($H$7:H7)&lt;=COUNTA($A$7:$A$18),INDEX($A$7:$A$18,ROWS($H$7:H7)),IF(ROWS($H$7:H7)-COUNTA($A$7:$A$18)&lt;=COUNTA($C$7:$C$31),INDEX($C$7:$C$31,ROWS($H$7:H7)-COUNTA($A$7:$A$18)),""))</f>
        <v>เงินเดือน</v>
      </c>
    </row>
    <row r="8" customFormat="false" ht="15" hidden="false" customHeight="false" outlineLevel="0" collapsed="false">
      <c r="A8" s="14" t="s">
        <v>39</v>
      </c>
      <c r="C8" s="14" t="s">
        <v>40</v>
      </c>
      <c r="D8" s="12" t="n">
        <v>8000</v>
      </c>
      <c r="F8" s="14" t="s">
        <v>41</v>
      </c>
      <c r="H8" s="11" t="str">
        <f aca="false">IF(ROWS($H$7:H8)&lt;=COUNTA($A$7:$A$18),INDEX($A$7:$A$18,ROWS($H$7:H8)),IF(ROWS($H$7:H8)-COUNTA($A$7:$A$18)&lt;=COUNTA($C$7:$C$31),INDEX($C$7:$C$31,ROWS($H$7:H8)-COUNTA($A$7:$A$18)),""))</f>
        <v>โบนัส</v>
      </c>
    </row>
    <row r="9" customFormat="false" ht="15" hidden="false" customHeight="false" outlineLevel="0" collapsed="false">
      <c r="A9" s="14" t="s">
        <v>42</v>
      </c>
      <c r="C9" s="14" t="s">
        <v>43</v>
      </c>
      <c r="D9" s="12" t="n">
        <v>1500</v>
      </c>
      <c r="F9" s="14" t="s">
        <v>44</v>
      </c>
      <c r="H9" s="11" t="str">
        <f aca="false">IF(ROWS($H$7:H9)&lt;=COUNTA($A$7:$A$18),INDEX($A$7:$A$18,ROWS($H$7:H9)),IF(ROWS($H$7:H9)-COUNTA($A$7:$A$18)&lt;=COUNTA($C$7:$C$31),INDEX($C$7:$C$31,ROWS($H$7:H9)-COUNTA($A$7:$A$18)),""))</f>
        <v>รายได้เสริม / ฟรีแลนซ์</v>
      </c>
    </row>
    <row r="10" customFormat="false" ht="15" hidden="false" customHeight="false" outlineLevel="0" collapsed="false">
      <c r="A10" s="14" t="s">
        <v>45</v>
      </c>
      <c r="C10" s="14" t="s">
        <v>46</v>
      </c>
      <c r="D10" s="12" t="n">
        <v>2500</v>
      </c>
      <c r="F10" s="14" t="s">
        <v>47</v>
      </c>
      <c r="H10" s="11" t="str">
        <f aca="false">IF(ROWS($H$7:H10)&lt;=COUNTA($A$7:$A$18),INDEX($A$7:$A$18,ROWS($H$7:H10)),IF(ROWS($H$7:H10)-COUNTA($A$7:$A$18)&lt;=COUNTA($C$7:$C$31),INDEX($C$7:$C$31,ROWS($H$7:H10)-COUNTA($A$7:$A$18)),""))</f>
        <v>ขายของ</v>
      </c>
    </row>
    <row r="11" customFormat="false" ht="15" hidden="false" customHeight="false" outlineLevel="0" collapsed="false">
      <c r="A11" s="14" t="s">
        <v>48</v>
      </c>
      <c r="C11" s="14" t="s">
        <v>49</v>
      </c>
      <c r="D11" s="12" t="n">
        <v>2000</v>
      </c>
      <c r="F11" s="15" t="s">
        <v>50</v>
      </c>
      <c r="H11" s="11" t="str">
        <f aca="false">IF(ROWS($H$7:H11)&lt;=COUNTA($A$7:$A$18),INDEX($A$7:$A$18,ROWS($H$7:H11)),IF(ROWS($H$7:H11)-COUNTA($A$7:$A$18)&lt;=COUNTA($C$7:$C$31),INDEX($C$7:$C$31,ROWS($H$7:H11)-COUNTA($A$7:$A$18)),""))</f>
        <v>ดอกเบี้ย / เงินปันผล</v>
      </c>
    </row>
    <row r="12" customFormat="false" ht="15" hidden="false" customHeight="false" outlineLevel="0" collapsed="false">
      <c r="A12" s="14" t="s">
        <v>51</v>
      </c>
      <c r="C12" s="14" t="s">
        <v>52</v>
      </c>
      <c r="D12" s="12" t="n">
        <v>1000</v>
      </c>
      <c r="F12" s="14"/>
      <c r="H12" s="11" t="str">
        <f aca="false">IF(ROWS($H$7:H12)&lt;=COUNTA($A$7:$A$18),INDEX($A$7:$A$18,ROWS($H$7:H12)),IF(ROWS($H$7:H12)-COUNTA($A$7:$A$18)&lt;=COUNTA($C$7:$C$31),INDEX($C$7:$C$31,ROWS($H$7:H12)-COUNTA($A$7:$A$18)),""))</f>
        <v>เงินคืน / ของขวัญ</v>
      </c>
    </row>
    <row r="13" customFormat="false" ht="15" hidden="false" customHeight="false" outlineLevel="0" collapsed="false">
      <c r="A13" s="14" t="s">
        <v>53</v>
      </c>
      <c r="C13" s="14" t="s">
        <v>54</v>
      </c>
      <c r="D13" s="12" t="n">
        <v>500</v>
      </c>
      <c r="F13" s="14"/>
      <c r="H13" s="11" t="str">
        <f aca="false">IF(ROWS($H$7:H13)&lt;=COUNTA($A$7:$A$18),INDEX($A$7:$A$18,ROWS($H$7:H13)),IF(ROWS($H$7:H13)-COUNTA($A$7:$A$18)&lt;=COUNTA($C$7:$C$31),INDEX($C$7:$C$31,ROWS($H$7:H13)-COUNTA($A$7:$A$18)),""))</f>
        <v>รายรับอื่น ๆ</v>
      </c>
    </row>
    <row r="14" customFormat="false" ht="15" hidden="false" customHeight="false" outlineLevel="0" collapsed="false">
      <c r="A14" s="14"/>
      <c r="C14" s="14" t="s">
        <v>55</v>
      </c>
      <c r="D14" s="12" t="n">
        <v>800</v>
      </c>
      <c r="F14" s="14"/>
      <c r="H14" s="11" t="str">
        <f aca="false">IF(ROWS($H$7:H14)&lt;=COUNTA($A$7:$A$18),INDEX($A$7:$A$18,ROWS($H$7:H14)),IF(ROWS($H$7:H14)-COUNTA($A$7:$A$18)&lt;=COUNTA($C$7:$C$31),INDEX($C$7:$C$31,ROWS($H$7:H14)-COUNTA($A$7:$A$18)),""))</f>
        <v>อาหาร &amp; เครื่องดื่ม</v>
      </c>
    </row>
    <row r="15" customFormat="false" ht="15" hidden="false" customHeight="false" outlineLevel="0" collapsed="false">
      <c r="A15" s="14"/>
      <c r="C15" s="14" t="s">
        <v>56</v>
      </c>
      <c r="D15" s="12" t="n">
        <v>2000</v>
      </c>
      <c r="H15" s="11" t="str">
        <f aca="false">IF(ROWS($H$7:H15)&lt;=COUNTA($A$7:$A$18),INDEX($A$7:$A$18,ROWS($H$7:H15)),IF(ROWS($H$7:H15)-COUNTA($A$7:$A$18)&lt;=COUNTA($C$7:$C$31),INDEX($C$7:$C$31,ROWS($H$7:H15)-COUNTA($A$7:$A$18)),""))</f>
        <v>ที่พัก / ค่าเช่า</v>
      </c>
    </row>
    <row r="16" customFormat="false" ht="15" hidden="false" customHeight="false" outlineLevel="0" collapsed="false">
      <c r="A16" s="14"/>
      <c r="C16" s="14" t="s">
        <v>57</v>
      </c>
      <c r="D16" s="12" t="n">
        <v>3000</v>
      </c>
      <c r="H16" s="11" t="str">
        <f aca="false">IF(ROWS($H$7:H16)&lt;=COUNTA($A$7:$A$18),INDEX($A$7:$A$18,ROWS($H$7:H16)),IF(ROWS($H$7:H16)-COUNTA($A$7:$A$18)&lt;=COUNTA($C$7:$C$31),INDEX($C$7:$C$31,ROWS($H$7:H16)-COUNTA($A$7:$A$18)),""))</f>
        <v>ค่าน้ำ ค่าไฟ ค่าเน็ต</v>
      </c>
    </row>
    <row r="17" customFormat="false" ht="15" hidden="false" customHeight="false" outlineLevel="0" collapsed="false">
      <c r="A17" s="14"/>
      <c r="C17" s="14" t="s">
        <v>58</v>
      </c>
      <c r="D17" s="12" t="n">
        <v>5000</v>
      </c>
      <c r="H17" s="11" t="str">
        <f aca="false">IF(ROWS($H$7:H17)&lt;=COUNTA($A$7:$A$18),INDEX($A$7:$A$18,ROWS($H$7:H17)),IF(ROWS($H$7:H17)-COUNTA($A$7:$A$18)&lt;=COUNTA($C$7:$C$31),INDEX($C$7:$C$31,ROWS($H$7:H17)-COUNTA($A$7:$A$18)),""))</f>
        <v>เดินทาง / น้ำมัน</v>
      </c>
    </row>
    <row r="18" customFormat="false" ht="15" hidden="false" customHeight="false" outlineLevel="0" collapsed="false">
      <c r="A18" s="14"/>
      <c r="C18" s="14" t="s">
        <v>59</v>
      </c>
      <c r="D18" s="12" t="n">
        <v>500</v>
      </c>
      <c r="H18" s="11" t="str">
        <f aca="false">IF(ROWS($H$7:H18)&lt;=COUNTA($A$7:$A$18),INDEX($A$7:$A$18,ROWS($H$7:H18)),IF(ROWS($H$7:H18)-COUNTA($A$7:$A$18)&lt;=COUNTA($C$7:$C$31),INDEX($C$7:$C$31,ROWS($H$7:H18)-COUNTA($A$7:$A$18)),""))</f>
        <v>ช้อปปิ้ง</v>
      </c>
    </row>
    <row r="19" customFormat="false" ht="15" hidden="false" customHeight="false" outlineLevel="0" collapsed="false">
      <c r="C19" s="14" t="s">
        <v>60</v>
      </c>
      <c r="D19" s="12" t="n">
        <v>1000</v>
      </c>
      <c r="H19" s="11" t="str">
        <f aca="false">IF(ROWS($H$7:H19)&lt;=COUNTA($A$7:$A$18),INDEX($A$7:$A$18,ROWS($H$7:H19)),IF(ROWS($H$7:H19)-COUNTA($A$7:$A$18)&lt;=COUNTA($C$7:$C$31),INDEX($C$7:$C$31,ROWS($H$7:H19)-COUNTA($A$7:$A$18)),""))</f>
        <v>สุขภาพ &amp; ประกัน</v>
      </c>
    </row>
    <row r="20" customFormat="false" ht="15" hidden="false" customHeight="false" outlineLevel="0" collapsed="false">
      <c r="C20" s="14"/>
      <c r="D20" s="12"/>
      <c r="H20" s="11" t="str">
        <f aca="false">IF(ROWS($H$7:H20)&lt;=COUNTA($A$7:$A$18),INDEX($A$7:$A$18,ROWS($H$7:H20)),IF(ROWS($H$7:H20)-COUNTA($A$7:$A$18)&lt;=COUNTA($C$7:$C$31),INDEX($C$7:$C$31,ROWS($H$7:H20)-COUNTA($A$7:$A$18)),""))</f>
        <v>การศึกษา</v>
      </c>
    </row>
    <row r="21" customFormat="false" ht="15" hidden="false" customHeight="false" outlineLevel="0" collapsed="false">
      <c r="C21" s="14"/>
      <c r="D21" s="12"/>
      <c r="H21" s="11" t="str">
        <f aca="false">IF(ROWS($H$7:H21)&lt;=COUNTA($A$7:$A$18),INDEX($A$7:$A$18,ROWS($H$7:H21)),IF(ROWS($H$7:H21)-COUNTA($A$7:$A$18)&lt;=COUNTA($C$7:$C$31),INDEX($C$7:$C$31,ROWS($H$7:H21)-COUNTA($A$7:$A$18)),""))</f>
        <v>บันเทิง &amp; สมาชิกรายเดือน</v>
      </c>
    </row>
    <row r="22" customFormat="false" ht="15" hidden="false" customHeight="false" outlineLevel="0" collapsed="false">
      <c r="C22" s="14"/>
      <c r="D22" s="12"/>
      <c r="H22" s="11" t="str">
        <f aca="false">IF(ROWS($H$7:H22)&lt;=COUNTA($A$7:$A$18),INDEX($A$7:$A$18,ROWS($H$7:H22)),IF(ROWS($H$7:H22)-COUNTA($A$7:$A$18)&lt;=COUNTA($C$7:$C$31),INDEX($C$7:$C$31,ROWS($H$7:H22)-COUNTA($A$7:$A$18)),""))</f>
        <v>ครอบครัว</v>
      </c>
    </row>
    <row r="23" customFormat="false" ht="15" hidden="false" customHeight="false" outlineLevel="0" collapsed="false">
      <c r="C23" s="14"/>
      <c r="D23" s="12"/>
      <c r="H23" s="11" t="str">
        <f aca="false">IF(ROWS($H$7:H23)&lt;=COUNTA($A$7:$A$18),INDEX($A$7:$A$18,ROWS($H$7:H23)),IF(ROWS($H$7:H23)-COUNTA($A$7:$A$18)&lt;=COUNTA($C$7:$C$31),INDEX($C$7:$C$31,ROWS($H$7:H23)-COUNTA($A$7:$A$18)),""))</f>
        <v>ผ่อนชำระ / หนี้</v>
      </c>
    </row>
    <row r="24" customFormat="false" ht="15" hidden="false" customHeight="false" outlineLevel="0" collapsed="false">
      <c r="C24" s="14"/>
      <c r="D24" s="12"/>
      <c r="H24" s="11" t="str">
        <f aca="false">IF(ROWS($H$7:H24)&lt;=COUNTA($A$7:$A$18),INDEX($A$7:$A$18,ROWS($H$7:H24)),IF(ROWS($H$7:H24)-COUNTA($A$7:$A$18)&lt;=COUNTA($C$7:$C$31),INDEX($C$7:$C$31,ROWS($H$7:H24)-COUNTA($A$7:$A$18)),""))</f>
        <v>ออม &amp; ลงทุน</v>
      </c>
    </row>
    <row r="25" customFormat="false" ht="15" hidden="false" customHeight="false" outlineLevel="0" collapsed="false">
      <c r="C25" s="14"/>
      <c r="D25" s="12"/>
      <c r="H25" s="11" t="str">
        <f aca="false">IF(ROWS($H$7:H25)&lt;=COUNTA($A$7:$A$18),INDEX($A$7:$A$18,ROWS($H$7:H25)),IF(ROWS($H$7:H25)-COUNTA($A$7:$A$18)&lt;=COUNTA($C$7:$C$31),INDEX($C$7:$C$31,ROWS($H$7:H25)-COUNTA($A$7:$A$18)),""))</f>
        <v>ทำบุญ / ของขวัญ</v>
      </c>
    </row>
    <row r="26" customFormat="false" ht="15" hidden="false" customHeight="false" outlineLevel="0" collapsed="false">
      <c r="C26" s="14"/>
      <c r="D26" s="12"/>
      <c r="H26" s="11" t="str">
        <f aca="false">IF(ROWS($H$7:H26)&lt;=COUNTA($A$7:$A$18),INDEX($A$7:$A$18,ROWS($H$7:H26)),IF(ROWS($H$7:H26)-COUNTA($A$7:$A$18)&lt;=COUNTA($C$7:$C$31),INDEX($C$7:$C$31,ROWS($H$7:H26)-COUNTA($A$7:$A$18)),""))</f>
        <v>รายจ่ายอื่น ๆ</v>
      </c>
    </row>
    <row r="27" customFormat="false" ht="15" hidden="false" customHeight="false" outlineLevel="0" collapsed="false">
      <c r="C27" s="14"/>
      <c r="D27" s="12"/>
      <c r="H27" s="11" t="str">
        <f aca="false">IF(ROWS($H$7:H27)&lt;=COUNTA($A$7:$A$18),INDEX($A$7:$A$18,ROWS($H$7:H27)),IF(ROWS($H$7:H27)-COUNTA($A$7:$A$18)&lt;=COUNTA($C$7:$C$31),INDEX($C$7:$C$31,ROWS($H$7:H27)-COUNTA($A$7:$A$18)),""))</f>
        <v/>
      </c>
    </row>
    <row r="28" customFormat="false" ht="15" hidden="false" customHeight="false" outlineLevel="0" collapsed="false">
      <c r="C28" s="14"/>
      <c r="D28" s="12"/>
      <c r="H28" s="11" t="str">
        <f aca="false">IF(ROWS($H$7:H28)&lt;=COUNTA($A$7:$A$18),INDEX($A$7:$A$18,ROWS($H$7:H28)),IF(ROWS($H$7:H28)-COUNTA($A$7:$A$18)&lt;=COUNTA($C$7:$C$31),INDEX($C$7:$C$31,ROWS($H$7:H28)-COUNTA($A$7:$A$18)),""))</f>
        <v/>
      </c>
    </row>
    <row r="29" customFormat="false" ht="15" hidden="false" customHeight="false" outlineLevel="0" collapsed="false">
      <c r="C29" s="14"/>
      <c r="D29" s="12"/>
      <c r="H29" s="11" t="str">
        <f aca="false">IF(ROWS($H$7:H29)&lt;=COUNTA($A$7:$A$18),INDEX($A$7:$A$18,ROWS($H$7:H29)),IF(ROWS($H$7:H29)-COUNTA($A$7:$A$18)&lt;=COUNTA($C$7:$C$31),INDEX($C$7:$C$31,ROWS($H$7:H29)-COUNTA($A$7:$A$18)),""))</f>
        <v/>
      </c>
    </row>
    <row r="30" customFormat="false" ht="15" hidden="false" customHeight="false" outlineLevel="0" collapsed="false">
      <c r="C30" s="14"/>
      <c r="D30" s="12"/>
      <c r="H30" s="11" t="str">
        <f aca="false">IF(ROWS($H$7:H30)&lt;=COUNTA($A$7:$A$18),INDEX($A$7:$A$18,ROWS($H$7:H30)),IF(ROWS($H$7:H30)-COUNTA($A$7:$A$18)&lt;=COUNTA($C$7:$C$31),INDEX($C$7:$C$31,ROWS($H$7:H30)-COUNTA($A$7:$A$18)),""))</f>
        <v/>
      </c>
    </row>
    <row r="31" customFormat="false" ht="15" hidden="false" customHeight="false" outlineLevel="0" collapsed="false">
      <c r="C31" s="14"/>
      <c r="D31" s="12"/>
      <c r="H31" s="11" t="str">
        <f aca="false">IF(ROWS($H$7:H31)&lt;=COUNTA($A$7:$A$18),INDEX($A$7:$A$18,ROWS($H$7:H31)),IF(ROWS($H$7:H31)-COUNTA($A$7:$A$18)&lt;=COUNTA($C$7:$C$31),INDEX($C$7:$C$31,ROWS($H$7:H31)-COUNTA($A$7:$A$18)),""))</f>
        <v/>
      </c>
    </row>
    <row r="32" customFormat="false" ht="15" hidden="false" customHeight="false" outlineLevel="0" collapsed="false">
      <c r="C32" s="8" t="s">
        <v>61</v>
      </c>
      <c r="D32" s="16" t="n">
        <f aca="false">SUM(D7:D31)</f>
        <v>33800</v>
      </c>
      <c r="H32" s="11" t="str">
        <f aca="false">IF(ROWS($H$7:H32)&lt;=COUNTA($A$7:$A$18),INDEX($A$7:$A$18,ROWS($H$7:H32)),IF(ROWS($H$7:H32)-COUNTA($A$7:$A$18)&lt;=COUNTA($C$7:$C$31),INDEX($C$7:$C$31,ROWS($H$7:H32)-COUNTA($A$7:$A$18)),""))</f>
        <v/>
      </c>
    </row>
    <row r="33" customFormat="false" ht="15" hidden="false" customHeight="false" outlineLevel="0" collapsed="false">
      <c r="C33" s="2" t="s">
        <v>62</v>
      </c>
      <c r="H33" s="11" t="str">
        <f aca="false">IF(ROWS($H$7:H33)&lt;=COUNTA($A$7:$A$18),INDEX($A$7:$A$18,ROWS($H$7:H33)),IF(ROWS($H$7:H33)-COUNTA($A$7:$A$18)&lt;=COUNTA($C$7:$C$31),INDEX($C$7:$C$31,ROWS($H$7:H33)-COUNTA($A$7:$A$18)),""))</f>
        <v/>
      </c>
    </row>
    <row r="34" customFormat="false" ht="15" hidden="false" customHeight="false" outlineLevel="0" collapsed="false">
      <c r="H34" s="11" t="str">
        <f aca="false">IF(ROWS($H$7:H34)&lt;=COUNTA($A$7:$A$18),INDEX($A$7:$A$18,ROWS($H$7:H34)),IF(ROWS($H$7:H34)-COUNTA($A$7:$A$18)&lt;=COUNTA($C$7:$C$31),INDEX($C$7:$C$31,ROWS($H$7:H34)-COUNTA($A$7:$A$18)),""))</f>
        <v/>
      </c>
    </row>
    <row r="35" customFormat="false" ht="15" hidden="false" customHeight="false" outlineLevel="0" collapsed="false">
      <c r="H35" s="11" t="str">
        <f aca="false">IF(ROWS($H$7:H35)&lt;=COUNTA($A$7:$A$18),INDEX($A$7:$A$18,ROWS($H$7:H35)),IF(ROWS($H$7:H35)-COUNTA($A$7:$A$18)&lt;=COUNTA($C$7:$C$31),INDEX($C$7:$C$31,ROWS($H$7:H35)-COUNTA($A$7:$A$18)),""))</f>
        <v/>
      </c>
    </row>
    <row r="36" customFormat="false" ht="15" hidden="false" customHeight="false" outlineLevel="0" collapsed="false">
      <c r="H36" s="11" t="str">
        <f aca="false">IF(ROWS($H$7:H36)&lt;=COUNTA($A$7:$A$18),INDEX($A$7:$A$18,ROWS($H$7:H36)),IF(ROWS($H$7:H36)-COUNTA($A$7:$A$18)&lt;=COUNTA($C$7:$C$31),INDEX($C$7:$C$31,ROWS($H$7:H36)-COUNTA($A$7:$A$18)),""))</f>
        <v/>
      </c>
    </row>
    <row r="37" customFormat="false" ht="15" hidden="false" customHeight="false" outlineLevel="0" collapsed="false">
      <c r="H37" s="11" t="str">
        <f aca="false">IF(ROWS($H$7:H37)&lt;=COUNTA($A$7:$A$18),INDEX($A$7:$A$18,ROWS($H$7:H37)),IF(ROWS($H$7:H37)-COUNTA($A$7:$A$18)&lt;=COUNTA($C$7:$C$31),INDEX($C$7:$C$31,ROWS($H$7:H37)-COUNTA($A$7:$A$18)),""))</f>
        <v/>
      </c>
    </row>
    <row r="38" customFormat="false" ht="15" hidden="false" customHeight="false" outlineLevel="0" collapsed="false">
      <c r="H38" s="11" t="str">
        <f aca="false">IF(ROWS($H$7:H38)&lt;=COUNTA($A$7:$A$18),INDEX($A$7:$A$18,ROWS($H$7:H38)),IF(ROWS($H$7:H38)-COUNTA($A$7:$A$18)&lt;=COUNTA($C$7:$C$31),INDEX($C$7:$C$31,ROWS($H$7:H38)-COUNTA($A$7:$A$18)),""))</f>
        <v/>
      </c>
    </row>
    <row r="39" customFormat="false" ht="15" hidden="false" customHeight="false" outlineLevel="0" collapsed="false">
      <c r="H39" s="11" t="str">
        <f aca="false">IF(ROWS($H$7:H39)&lt;=COUNTA($A$7:$A$18),INDEX($A$7:$A$18,ROWS($H$7:H39)),IF(ROWS($H$7:H39)-COUNTA($A$7:$A$18)&lt;=COUNTA($C$7:$C$31),INDEX($C$7:$C$31,ROWS($H$7:H39)-COUNTA($A$7:$A$18)),""))</f>
        <v/>
      </c>
    </row>
    <row r="40" customFormat="false" ht="15" hidden="false" customHeight="false" outlineLevel="0" collapsed="false">
      <c r="H40" s="11" t="str">
        <f aca="false">IF(ROWS($H$7:H40)&lt;=COUNTA($A$7:$A$18),INDEX($A$7:$A$18,ROWS($H$7:H40)),IF(ROWS($H$7:H40)-COUNTA($A$7:$A$18)&lt;=COUNTA($C$7:$C$31),INDEX($C$7:$C$31,ROWS($H$7:H40)-COUNTA($A$7:$A$18)),""))</f>
        <v/>
      </c>
    </row>
    <row r="41" customFormat="false" ht="15" hidden="false" customHeight="false" outlineLevel="0" collapsed="false">
      <c r="H41" s="11" t="str">
        <f aca="false">IF(ROWS($H$7:H41)&lt;=COUNTA($A$7:$A$18),INDEX($A$7:$A$18,ROWS($H$7:H41)),IF(ROWS($H$7:H41)-COUNTA($A$7:$A$18)&lt;=COUNTA($C$7:$C$31),INDEX($C$7:$C$31,ROWS($H$7:H41)-COUNTA($A$7:$A$18)),""))</f>
        <v/>
      </c>
    </row>
    <row r="42" customFormat="false" ht="15" hidden="false" customHeight="false" outlineLevel="0" collapsed="false">
      <c r="H42" s="11" t="str">
        <f aca="false">IF(ROWS($H$7:H42)&lt;=COUNTA($A$7:$A$18),INDEX($A$7:$A$18,ROWS($H$7:H42)),IF(ROWS($H$7:H42)-COUNTA($A$7:$A$18)&lt;=COUNTA($C$7:$C$31),INDEX($C$7:$C$31,ROWS($H$7:H42)-COUNTA($A$7:$A$18)),""))</f>
        <v/>
      </c>
    </row>
    <row r="43" customFormat="false" ht="15" hidden="false" customHeight="false" outlineLevel="0" collapsed="false">
      <c r="H43" s="11" t="str">
        <f aca="false">IF(ROWS($H$7:H43)&lt;=COUNTA($A$7:$A$18),INDEX($A$7:$A$18,ROWS($H$7:H43)),IF(ROWS($H$7:H43)-COUNTA($A$7:$A$18)&lt;=COUNTA($C$7:$C$31),INDEX($C$7:$C$31,ROWS($H$7:H43)-COUNTA($A$7:$A$18)),""))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8B46A"/>
    <pageSetUpPr fitToPage="true"/>
  </sheetPr>
  <dimension ref="A1:L100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6" min="6" style="0" width="17"/>
    <col collapsed="false" customWidth="true" hidden="false" outlineLevel="0" max="7" min="7" style="0" width="22"/>
    <col collapsed="false" customWidth="true" hidden="false" outlineLevel="0" max="9" min="8" style="0" width="14"/>
    <col collapsed="false" customWidth="true" hidden="false" outlineLevel="0" max="10" min="10" style="0" width="17"/>
    <col collapsed="false" customWidth="true" hidden="false" outlineLevel="0" max="12" min="11" style="0" width="8"/>
  </cols>
  <sheetData>
    <row r="1" customFormat="false" ht="19.7" hidden="false" customHeight="false" outlineLevel="0" collapsed="false">
      <c r="A1" s="1" t="s">
        <v>63</v>
      </c>
    </row>
    <row r="2" customFormat="false" ht="15" hidden="false" customHeight="false" outlineLevel="0" collapsed="false">
      <c r="A2" s="2" t="s">
        <v>64</v>
      </c>
      <c r="J2" s="17" t="s">
        <v>65</v>
      </c>
      <c r="K2" s="18" t="n">
        <f aca="false">ตั้งค่า!B4+SUM(H5:H1004)-SUM(I5:I1004)</f>
        <v>30382</v>
      </c>
    </row>
    <row r="4" customFormat="false" ht="30" hidden="false" customHeight="true" outlineLevel="0" collapsed="false">
      <c r="A4" s="13" t="s">
        <v>66</v>
      </c>
      <c r="B4" s="13" t="s">
        <v>67</v>
      </c>
      <c r="C4" s="13" t="s">
        <v>68</v>
      </c>
      <c r="D4" s="13" t="s">
        <v>69</v>
      </c>
      <c r="E4" s="13" t="s">
        <v>70</v>
      </c>
      <c r="F4" s="13" t="s">
        <v>34</v>
      </c>
      <c r="G4" s="13" t="s">
        <v>18</v>
      </c>
      <c r="H4" s="13" t="s">
        <v>71</v>
      </c>
      <c r="I4" s="13" t="s">
        <v>72</v>
      </c>
      <c r="J4" s="13" t="s">
        <v>73</v>
      </c>
      <c r="K4" s="13" t="s">
        <v>74</v>
      </c>
      <c r="L4" s="13" t="s">
        <v>75</v>
      </c>
    </row>
    <row r="5" customFormat="false" ht="15" hidden="false" customHeight="false" outlineLevel="0" collapsed="false">
      <c r="A5" s="19" t="n">
        <v>46290</v>
      </c>
      <c r="B5" s="14" t="s">
        <v>76</v>
      </c>
      <c r="C5" s="14" t="s">
        <v>36</v>
      </c>
      <c r="D5" s="20" t="str">
        <f aca="false">IF(C5="","",IF(COUNTIF(ตั้งค่า!$A$7:$A$18,C5)&gt;0,"รายรับ",IF(COUNTIF(ตั้งค่า!$C$7:$C$31,C5)&gt;0,"รายจ่าย","ไม่พบหมวดหมู่")))</f>
        <v>รายรับ</v>
      </c>
      <c r="E5" s="12" t="n">
        <v>32000</v>
      </c>
      <c r="F5" s="14" t="s">
        <v>41</v>
      </c>
      <c r="G5" s="14"/>
      <c r="H5" s="21" t="n">
        <f aca="false">IF(OR(E5="",D5&lt;&gt;"รายรับ"),0,E5)</f>
        <v>32000</v>
      </c>
      <c r="I5" s="21" t="n">
        <f aca="false">IF(OR(E5="",D5&lt;&gt;"รายจ่าย"),0,E5)</f>
        <v>0</v>
      </c>
      <c r="J5" s="21" t="n">
        <f aca="false">IF(E5="","",ตั้งค่า!$B$4+SUM($H$5:H5)-SUM($I$5:I5))</f>
        <v>47000</v>
      </c>
      <c r="K5" s="22" t="n">
        <f aca="false">IF(A5="","",MONTH(A5))</f>
        <v>9</v>
      </c>
      <c r="L5" s="22" t="n">
        <f aca="false">IF(A5="","",YEAR(A5))</f>
        <v>2026</v>
      </c>
    </row>
    <row r="6" customFormat="false" ht="15" hidden="false" customHeight="false" outlineLevel="0" collapsed="false">
      <c r="A6" s="19" t="n">
        <v>46291</v>
      </c>
      <c r="B6" s="14" t="s">
        <v>77</v>
      </c>
      <c r="C6" s="14" t="s">
        <v>40</v>
      </c>
      <c r="D6" s="20" t="str">
        <f aca="false">IF(C6="","",IF(COUNTIF(ตั้งค่า!$A$7:$A$18,C6)&gt;0,"รายรับ",IF(COUNTIF(ตั้งค่า!$C$7:$C$31,C6)&gt;0,"รายจ่าย","ไม่พบหมวดหมู่")))</f>
        <v>รายจ่าย</v>
      </c>
      <c r="E6" s="12" t="n">
        <v>8000</v>
      </c>
      <c r="F6" s="14" t="s">
        <v>41</v>
      </c>
      <c r="G6" s="14"/>
      <c r="H6" s="21" t="n">
        <f aca="false">IF(OR(E6="",D6&lt;&gt;"รายรับ"),0,E6)</f>
        <v>0</v>
      </c>
      <c r="I6" s="21" t="n">
        <f aca="false">IF(OR(E6="",D6&lt;&gt;"รายจ่าย"),0,E6)</f>
        <v>8000</v>
      </c>
      <c r="J6" s="21" t="n">
        <f aca="false">IF(E6="","",ตั้งค่า!$B$4+SUM($H$5:H6)-SUM($I$5:I6))</f>
        <v>39000</v>
      </c>
      <c r="K6" s="22" t="n">
        <f aca="false">IF(A6="","",MONTH(A6))</f>
        <v>9</v>
      </c>
      <c r="L6" s="22" t="n">
        <f aca="false">IF(A6="","",YEAR(A6))</f>
        <v>2026</v>
      </c>
    </row>
    <row r="7" customFormat="false" ht="15" hidden="false" customHeight="false" outlineLevel="0" collapsed="false">
      <c r="A7" s="19" t="n">
        <v>46293</v>
      </c>
      <c r="B7" s="14" t="s">
        <v>78</v>
      </c>
      <c r="C7" s="14" t="s">
        <v>37</v>
      </c>
      <c r="D7" s="20" t="str">
        <f aca="false">IF(C7="","",IF(COUNTIF(ตั้งค่า!$A$7:$A$18,C7)&gt;0,"รายรับ",IF(COUNTIF(ตั้งค่า!$C$7:$C$31,C7)&gt;0,"รายจ่าย","ไม่พบหมวดหมู่")))</f>
        <v>รายจ่าย</v>
      </c>
      <c r="E7" s="12" t="n">
        <v>1450</v>
      </c>
      <c r="F7" s="14" t="s">
        <v>44</v>
      </c>
      <c r="G7" s="14"/>
      <c r="H7" s="21" t="n">
        <f aca="false">IF(OR(E7="",D7&lt;&gt;"รายรับ"),0,E7)</f>
        <v>0</v>
      </c>
      <c r="I7" s="21" t="n">
        <f aca="false">IF(OR(E7="",D7&lt;&gt;"รายจ่าย"),0,E7)</f>
        <v>1450</v>
      </c>
      <c r="J7" s="21" t="n">
        <f aca="false">IF(E7="","",ตั้งค่า!$B$4+SUM($H$5:H7)-SUM($I$5:I7))</f>
        <v>37550</v>
      </c>
      <c r="K7" s="22" t="n">
        <f aca="false">IF(A7="","",MONTH(A7))</f>
        <v>9</v>
      </c>
      <c r="L7" s="22" t="n">
        <f aca="false">IF(A7="","",YEAR(A7))</f>
        <v>2026</v>
      </c>
    </row>
    <row r="8" customFormat="false" ht="15" hidden="false" customHeight="false" outlineLevel="0" collapsed="false">
      <c r="A8" s="19" t="n">
        <v>46295</v>
      </c>
      <c r="B8" s="14" t="s">
        <v>79</v>
      </c>
      <c r="C8" s="14" t="s">
        <v>46</v>
      </c>
      <c r="D8" s="20" t="str">
        <f aca="false">IF(C8="","",IF(COUNTIF(ตั้งค่า!$A$7:$A$18,C8)&gt;0,"รายรับ",IF(COUNTIF(ตั้งค่า!$C$7:$C$31,C8)&gt;0,"รายจ่าย","ไม่พบหมวดหมู่")))</f>
        <v>รายจ่าย</v>
      </c>
      <c r="E8" s="12" t="n">
        <v>1200</v>
      </c>
      <c r="F8" s="14" t="s">
        <v>47</v>
      </c>
      <c r="G8" s="14"/>
      <c r="H8" s="21" t="n">
        <f aca="false">IF(OR(E8="",D8&lt;&gt;"รายรับ"),0,E8)</f>
        <v>0</v>
      </c>
      <c r="I8" s="21" t="n">
        <f aca="false">IF(OR(E8="",D8&lt;&gt;"รายจ่าย"),0,E8)</f>
        <v>1200</v>
      </c>
      <c r="J8" s="21" t="n">
        <f aca="false">IF(E8="","",ตั้งค่า!$B$4+SUM($H$5:H8)-SUM($I$5:I8))</f>
        <v>36350</v>
      </c>
      <c r="K8" s="22" t="n">
        <f aca="false">IF(A8="","",MONTH(A8))</f>
        <v>9</v>
      </c>
      <c r="L8" s="22" t="n">
        <f aca="false">IF(A8="","",YEAR(A8))</f>
        <v>2026</v>
      </c>
    </row>
    <row r="9" customFormat="false" ht="15" hidden="false" customHeight="false" outlineLevel="0" collapsed="false">
      <c r="A9" s="19" t="n">
        <v>46296</v>
      </c>
      <c r="B9" s="14" t="s">
        <v>80</v>
      </c>
      <c r="C9" s="14" t="s">
        <v>43</v>
      </c>
      <c r="D9" s="20" t="str">
        <f aca="false">IF(C9="","",IF(COUNTIF(ตั้งค่า!$A$7:$A$18,C9)&gt;0,"รายรับ",IF(COUNTIF(ตั้งค่า!$C$7:$C$31,C9)&gt;0,"รายจ่าย","ไม่พบหมวดหมู่")))</f>
        <v>รายจ่าย</v>
      </c>
      <c r="E9" s="12" t="n">
        <v>1380</v>
      </c>
      <c r="F9" s="15" t="s">
        <v>50</v>
      </c>
      <c r="G9" s="14" t="s">
        <v>81</v>
      </c>
      <c r="H9" s="21" t="n">
        <f aca="false">IF(OR(E9="",D9&lt;&gt;"รายรับ"),0,E9)</f>
        <v>0</v>
      </c>
      <c r="I9" s="21" t="n">
        <f aca="false">IF(OR(E9="",D9&lt;&gt;"รายจ่าย"),0,E9)</f>
        <v>1380</v>
      </c>
      <c r="J9" s="21" t="n">
        <f aca="false">IF(E9="","",ตั้งค่า!$B$4+SUM($H$5:H9)-SUM($I$5:I9))</f>
        <v>34970</v>
      </c>
      <c r="K9" s="22" t="n">
        <f aca="false">IF(A9="","",MONTH(A9))</f>
        <v>10</v>
      </c>
      <c r="L9" s="22" t="n">
        <f aca="false">IF(A9="","",YEAR(A9))</f>
        <v>2026</v>
      </c>
    </row>
    <row r="10" customFormat="false" ht="15" hidden="false" customHeight="false" outlineLevel="0" collapsed="false">
      <c r="A10" s="19" t="n">
        <v>46298</v>
      </c>
      <c r="B10" s="14" t="s">
        <v>82</v>
      </c>
      <c r="C10" s="14" t="s">
        <v>42</v>
      </c>
      <c r="D10" s="20" t="str">
        <f aca="false">IF(C10="","",IF(COUNTIF(ตั้งค่า!$A$7:$A$18,C10)&gt;0,"รายรับ",IF(COUNTIF(ตั้งค่า!$C$7:$C$31,C10)&gt;0,"รายจ่าย","ไม่พบหมวดหมู่")))</f>
        <v>รายรับ</v>
      </c>
      <c r="E10" s="12" t="n">
        <v>4500</v>
      </c>
      <c r="F10" s="14" t="s">
        <v>41</v>
      </c>
      <c r="G10" s="14" t="s">
        <v>83</v>
      </c>
      <c r="H10" s="21" t="n">
        <f aca="false">IF(OR(E10="",D10&lt;&gt;"รายรับ"),0,E10)</f>
        <v>4500</v>
      </c>
      <c r="I10" s="21" t="n">
        <f aca="false">IF(OR(E10="",D10&lt;&gt;"รายจ่าย"),0,E10)</f>
        <v>0</v>
      </c>
      <c r="J10" s="21" t="n">
        <f aca="false">IF(E10="","",ตั้งค่า!$B$4+SUM($H$5:H10)-SUM($I$5:I10))</f>
        <v>39470</v>
      </c>
      <c r="K10" s="22" t="n">
        <f aca="false">IF(A10="","",MONTH(A10))</f>
        <v>10</v>
      </c>
      <c r="L10" s="22" t="n">
        <f aca="false">IF(A10="","",YEAR(A10))</f>
        <v>2026</v>
      </c>
    </row>
    <row r="11" customFormat="false" ht="15" hidden="false" customHeight="false" outlineLevel="0" collapsed="false">
      <c r="A11" s="19" t="n">
        <v>46300</v>
      </c>
      <c r="B11" s="14" t="s">
        <v>84</v>
      </c>
      <c r="C11" s="14" t="s">
        <v>37</v>
      </c>
      <c r="D11" s="20" t="str">
        <f aca="false">IF(C11="","",IF(COUNTIF(ตั้งค่า!$A$7:$A$18,C11)&gt;0,"รายรับ",IF(COUNTIF(ตั้งค่า!$C$7:$C$31,C11)&gt;0,"รายจ่าย","ไม่พบหมวดหมู่")))</f>
        <v>รายจ่าย</v>
      </c>
      <c r="E11" s="12" t="n">
        <v>650</v>
      </c>
      <c r="F11" s="14" t="s">
        <v>38</v>
      </c>
      <c r="G11" s="14"/>
      <c r="H11" s="21" t="n">
        <f aca="false">IF(OR(E11="",D11&lt;&gt;"รายรับ"),0,E11)</f>
        <v>0</v>
      </c>
      <c r="I11" s="21" t="n">
        <f aca="false">IF(OR(E11="",D11&lt;&gt;"รายจ่าย"),0,E11)</f>
        <v>650</v>
      </c>
      <c r="J11" s="21" t="n">
        <f aca="false">IF(E11="","",ตั้งค่า!$B$4+SUM($H$5:H11)-SUM($I$5:I11))</f>
        <v>38820</v>
      </c>
      <c r="K11" s="22" t="n">
        <f aca="false">IF(A11="","",MONTH(A11))</f>
        <v>10</v>
      </c>
      <c r="L11" s="22" t="n">
        <f aca="false">IF(A11="","",YEAR(A11))</f>
        <v>2026</v>
      </c>
    </row>
    <row r="12" customFormat="false" ht="15" hidden="false" customHeight="false" outlineLevel="0" collapsed="false">
      <c r="A12" s="19" t="n">
        <v>46303</v>
      </c>
      <c r="B12" s="15" t="s">
        <v>85</v>
      </c>
      <c r="C12" s="14" t="s">
        <v>55</v>
      </c>
      <c r="D12" s="20" t="str">
        <f aca="false">IF(C12="","",IF(COUNTIF(ตั้งค่า!$A$7:$A$18,C12)&gt;0,"รายรับ",IF(COUNTIF(ตั้งค่า!$C$7:$C$31,C12)&gt;0,"รายจ่าย","ไม่พบหมวดหมู่")))</f>
        <v>รายจ่าย</v>
      </c>
      <c r="E12" s="12" t="n">
        <v>548</v>
      </c>
      <c r="F12" s="14" t="s">
        <v>47</v>
      </c>
      <c r="G12" s="14"/>
      <c r="H12" s="21" t="n">
        <f aca="false">IF(OR(E12="",D12&lt;&gt;"รายรับ"),0,E12)</f>
        <v>0</v>
      </c>
      <c r="I12" s="21" t="n">
        <f aca="false">IF(OR(E12="",D12&lt;&gt;"รายจ่าย"),0,E12)</f>
        <v>548</v>
      </c>
      <c r="J12" s="21" t="n">
        <f aca="false">IF(E12="","",ตั้งค่า!$B$4+SUM($H$5:H12)-SUM($I$5:I12))</f>
        <v>38272</v>
      </c>
      <c r="K12" s="22" t="n">
        <f aca="false">IF(A12="","",MONTH(A12))</f>
        <v>10</v>
      </c>
      <c r="L12" s="22" t="n">
        <f aca="false">IF(A12="","",YEAR(A12))</f>
        <v>2026</v>
      </c>
    </row>
    <row r="13" customFormat="false" ht="15" hidden="false" customHeight="false" outlineLevel="0" collapsed="false">
      <c r="A13" s="19" t="n">
        <v>46305</v>
      </c>
      <c r="B13" s="14" t="s">
        <v>86</v>
      </c>
      <c r="C13" s="14" t="s">
        <v>58</v>
      </c>
      <c r="D13" s="20" t="str">
        <f aca="false">IF(C13="","",IF(COUNTIF(ตั้งค่า!$A$7:$A$18,C13)&gt;0,"รายรับ",IF(COUNTIF(ตั้งค่า!$C$7:$C$31,C13)&gt;0,"รายจ่าย","ไม่พบหมวดหมู่")))</f>
        <v>รายจ่าย</v>
      </c>
      <c r="E13" s="12" t="n">
        <v>5000</v>
      </c>
      <c r="F13" s="14" t="s">
        <v>41</v>
      </c>
      <c r="G13" s="15" t="s">
        <v>87</v>
      </c>
      <c r="H13" s="21" t="n">
        <f aca="false">IF(OR(E13="",D13&lt;&gt;"รายรับ"),0,E13)</f>
        <v>0</v>
      </c>
      <c r="I13" s="21" t="n">
        <f aca="false">IF(OR(E13="",D13&lt;&gt;"รายจ่าย"),0,E13)</f>
        <v>5000</v>
      </c>
      <c r="J13" s="21" t="n">
        <f aca="false">IF(E13="","",ตั้งค่า!$B$4+SUM($H$5:H13)-SUM($I$5:I13))</f>
        <v>33272</v>
      </c>
      <c r="K13" s="22" t="n">
        <f aca="false">IF(A13="","",MONTH(A13))</f>
        <v>10</v>
      </c>
      <c r="L13" s="22" t="n">
        <f aca="false">IF(A13="","",YEAR(A13))</f>
        <v>2026</v>
      </c>
    </row>
    <row r="14" customFormat="false" ht="15" hidden="false" customHeight="false" outlineLevel="0" collapsed="false">
      <c r="A14" s="19" t="n">
        <v>46310</v>
      </c>
      <c r="B14" s="14" t="s">
        <v>88</v>
      </c>
      <c r="C14" s="14" t="s">
        <v>49</v>
      </c>
      <c r="D14" s="20" t="str">
        <f aca="false">IF(C14="","",IF(COUNTIF(ตั้งค่า!$A$7:$A$18,C14)&gt;0,"รายรับ",IF(COUNTIF(ตั้งค่า!$C$7:$C$31,C14)&gt;0,"รายจ่าย","ไม่พบหมวดหมู่")))</f>
        <v>รายจ่าย</v>
      </c>
      <c r="E14" s="12" t="n">
        <v>2890</v>
      </c>
      <c r="F14" s="14" t="s">
        <v>47</v>
      </c>
      <c r="G14" s="14"/>
      <c r="H14" s="21" t="n">
        <f aca="false">IF(OR(E14="",D14&lt;&gt;"รายรับ"),0,E14)</f>
        <v>0</v>
      </c>
      <c r="I14" s="21" t="n">
        <f aca="false">IF(OR(E14="",D14&lt;&gt;"รายจ่าย"),0,E14)</f>
        <v>2890</v>
      </c>
      <c r="J14" s="21" t="n">
        <f aca="false">IF(E14="","",ตั้งค่า!$B$4+SUM($H$5:H14)-SUM($I$5:I14))</f>
        <v>30382</v>
      </c>
      <c r="K14" s="22" t="n">
        <f aca="false">IF(A14="","",MONTH(A14))</f>
        <v>10</v>
      </c>
      <c r="L14" s="22" t="n">
        <f aca="false">IF(A14="","",YEAR(A14))</f>
        <v>2026</v>
      </c>
    </row>
    <row r="15" customFormat="false" ht="15" hidden="false" customHeight="false" outlineLevel="0" collapsed="false">
      <c r="A15" s="19"/>
      <c r="B15" s="14"/>
      <c r="C15" s="14"/>
      <c r="D15" s="20" t="str">
        <f aca="false">IF(C15="","",IF(COUNTIF(ตั้งค่า!$A$7:$A$18,C15)&gt;0,"รายรับ",IF(COUNTIF(ตั้งค่า!$C$7:$C$31,C15)&gt;0,"รายจ่าย","ไม่พบหมวดหมู่")))</f>
        <v/>
      </c>
      <c r="E15" s="12"/>
      <c r="F15" s="14"/>
      <c r="G15" s="14"/>
      <c r="H15" s="21" t="n">
        <f aca="false">IF(OR(E15="",D15&lt;&gt;"รายรับ"),0,E15)</f>
        <v>0</v>
      </c>
      <c r="I15" s="21" t="n">
        <f aca="false">IF(OR(E15="",D15&lt;&gt;"รายจ่าย"),0,E15)</f>
        <v>0</v>
      </c>
      <c r="J15" s="21" t="str">
        <f aca="false">IF(E15="","",ตั้งค่า!$B$4+SUM($H$5:H15)-SUM($I$5:I15))</f>
        <v/>
      </c>
      <c r="K15" s="22" t="str">
        <f aca="false">IF(A15="","",MONTH(A15))</f>
        <v/>
      </c>
      <c r="L15" s="22" t="str">
        <f aca="false">IF(A15="","",YEAR(A15))</f>
        <v/>
      </c>
    </row>
    <row r="16" customFormat="false" ht="15" hidden="false" customHeight="false" outlineLevel="0" collapsed="false">
      <c r="A16" s="19"/>
      <c r="B16" s="14"/>
      <c r="C16" s="14"/>
      <c r="D16" s="20" t="str">
        <f aca="false">IF(C16="","",IF(COUNTIF(ตั้งค่า!$A$7:$A$18,C16)&gt;0,"รายรับ",IF(COUNTIF(ตั้งค่า!$C$7:$C$31,C16)&gt;0,"รายจ่าย","ไม่พบหมวดหมู่")))</f>
        <v/>
      </c>
      <c r="E16" s="12"/>
      <c r="F16" s="14"/>
      <c r="G16" s="14"/>
      <c r="H16" s="21" t="n">
        <f aca="false">IF(OR(E16="",D16&lt;&gt;"รายรับ"),0,E16)</f>
        <v>0</v>
      </c>
      <c r="I16" s="21" t="n">
        <f aca="false">IF(OR(E16="",D16&lt;&gt;"รายจ่าย"),0,E16)</f>
        <v>0</v>
      </c>
      <c r="J16" s="21" t="str">
        <f aca="false">IF(E16="","",ตั้งค่า!$B$4+SUM($H$5:H16)-SUM($I$5:I16))</f>
        <v/>
      </c>
      <c r="K16" s="22" t="str">
        <f aca="false">IF(A16="","",MONTH(A16))</f>
        <v/>
      </c>
      <c r="L16" s="22" t="str">
        <f aca="false">IF(A16="","",YEAR(A16))</f>
        <v/>
      </c>
    </row>
    <row r="17" customFormat="false" ht="15" hidden="false" customHeight="false" outlineLevel="0" collapsed="false">
      <c r="A17" s="19"/>
      <c r="B17" s="14"/>
      <c r="C17" s="14"/>
      <c r="D17" s="20" t="str">
        <f aca="false">IF(C17="","",IF(COUNTIF(ตั้งค่า!$A$7:$A$18,C17)&gt;0,"รายรับ",IF(COUNTIF(ตั้งค่า!$C$7:$C$31,C17)&gt;0,"รายจ่าย","ไม่พบหมวดหมู่")))</f>
        <v/>
      </c>
      <c r="E17" s="12"/>
      <c r="F17" s="14"/>
      <c r="G17" s="14"/>
      <c r="H17" s="21" t="n">
        <f aca="false">IF(OR(E17="",D17&lt;&gt;"รายรับ"),0,E17)</f>
        <v>0</v>
      </c>
      <c r="I17" s="21" t="n">
        <f aca="false">IF(OR(E17="",D17&lt;&gt;"รายจ่าย"),0,E17)</f>
        <v>0</v>
      </c>
      <c r="J17" s="21" t="str">
        <f aca="false">IF(E17="","",ตั้งค่า!$B$4+SUM($H$5:H17)-SUM($I$5:I17))</f>
        <v/>
      </c>
      <c r="K17" s="22" t="str">
        <f aca="false">IF(A17="","",MONTH(A17))</f>
        <v/>
      </c>
      <c r="L17" s="22" t="str">
        <f aca="false">IF(A17="","",YEAR(A17))</f>
        <v/>
      </c>
    </row>
    <row r="18" customFormat="false" ht="15" hidden="false" customHeight="false" outlineLevel="0" collapsed="false">
      <c r="A18" s="19"/>
      <c r="B18" s="14"/>
      <c r="C18" s="14"/>
      <c r="D18" s="20" t="str">
        <f aca="false">IF(C18="","",IF(COUNTIF(ตั้งค่า!$A$7:$A$18,C18)&gt;0,"รายรับ",IF(COUNTIF(ตั้งค่า!$C$7:$C$31,C18)&gt;0,"รายจ่าย","ไม่พบหมวดหมู่")))</f>
        <v/>
      </c>
      <c r="E18" s="12"/>
      <c r="F18" s="14"/>
      <c r="G18" s="14"/>
      <c r="H18" s="21" t="n">
        <f aca="false">IF(OR(E18="",D18&lt;&gt;"รายรับ"),0,E18)</f>
        <v>0</v>
      </c>
      <c r="I18" s="21" t="n">
        <f aca="false">IF(OR(E18="",D18&lt;&gt;"รายจ่าย"),0,E18)</f>
        <v>0</v>
      </c>
      <c r="J18" s="21" t="str">
        <f aca="false">IF(E18="","",ตั้งค่า!$B$4+SUM($H$5:H18)-SUM($I$5:I18))</f>
        <v/>
      </c>
      <c r="K18" s="22" t="str">
        <f aca="false">IF(A18="","",MONTH(A18))</f>
        <v/>
      </c>
      <c r="L18" s="22" t="str">
        <f aca="false">IF(A18="","",YEAR(A18))</f>
        <v/>
      </c>
    </row>
    <row r="19" customFormat="false" ht="15" hidden="false" customHeight="false" outlineLevel="0" collapsed="false">
      <c r="A19" s="19"/>
      <c r="B19" s="14"/>
      <c r="C19" s="14"/>
      <c r="D19" s="20" t="str">
        <f aca="false">IF(C19="","",IF(COUNTIF(ตั้งค่า!$A$7:$A$18,C19)&gt;0,"รายรับ",IF(COUNTIF(ตั้งค่า!$C$7:$C$31,C19)&gt;0,"รายจ่าย","ไม่พบหมวดหมู่")))</f>
        <v/>
      </c>
      <c r="E19" s="12"/>
      <c r="F19" s="14"/>
      <c r="G19" s="14"/>
      <c r="H19" s="21" t="n">
        <f aca="false">IF(OR(E19="",D19&lt;&gt;"รายรับ"),0,E19)</f>
        <v>0</v>
      </c>
      <c r="I19" s="21" t="n">
        <f aca="false">IF(OR(E19="",D19&lt;&gt;"รายจ่าย"),0,E19)</f>
        <v>0</v>
      </c>
      <c r="J19" s="21" t="str">
        <f aca="false">IF(E19="","",ตั้งค่า!$B$4+SUM($H$5:H19)-SUM($I$5:I19))</f>
        <v/>
      </c>
      <c r="K19" s="22" t="str">
        <f aca="false">IF(A19="","",MONTH(A19))</f>
        <v/>
      </c>
      <c r="L19" s="22" t="str">
        <f aca="false">IF(A19="","",YEAR(A19))</f>
        <v/>
      </c>
    </row>
    <row r="20" customFormat="false" ht="15" hidden="false" customHeight="false" outlineLevel="0" collapsed="false">
      <c r="A20" s="19"/>
      <c r="B20" s="14"/>
      <c r="C20" s="14"/>
      <c r="D20" s="20" t="str">
        <f aca="false">IF(C20="","",IF(COUNTIF(ตั้งค่า!$A$7:$A$18,C20)&gt;0,"รายรับ",IF(COUNTIF(ตั้งค่า!$C$7:$C$31,C20)&gt;0,"รายจ่าย","ไม่พบหมวดหมู่")))</f>
        <v/>
      </c>
      <c r="E20" s="12"/>
      <c r="F20" s="14"/>
      <c r="G20" s="14"/>
      <c r="H20" s="21" t="n">
        <f aca="false">IF(OR(E20="",D20&lt;&gt;"รายรับ"),0,E20)</f>
        <v>0</v>
      </c>
      <c r="I20" s="21" t="n">
        <f aca="false">IF(OR(E20="",D20&lt;&gt;"รายจ่าย"),0,E20)</f>
        <v>0</v>
      </c>
      <c r="J20" s="21" t="str">
        <f aca="false">IF(E20="","",ตั้งค่า!$B$4+SUM($H$5:H20)-SUM($I$5:I20))</f>
        <v/>
      </c>
      <c r="K20" s="22" t="str">
        <f aca="false">IF(A20="","",MONTH(A20))</f>
        <v/>
      </c>
      <c r="L20" s="22" t="str">
        <f aca="false">IF(A20="","",YEAR(A20))</f>
        <v/>
      </c>
    </row>
    <row r="21" customFormat="false" ht="15" hidden="false" customHeight="false" outlineLevel="0" collapsed="false">
      <c r="A21" s="19"/>
      <c r="B21" s="14"/>
      <c r="C21" s="14"/>
      <c r="D21" s="20" t="str">
        <f aca="false">IF(C21="","",IF(COUNTIF(ตั้งค่า!$A$7:$A$18,C21)&gt;0,"รายรับ",IF(COUNTIF(ตั้งค่า!$C$7:$C$31,C21)&gt;0,"รายจ่าย","ไม่พบหมวดหมู่")))</f>
        <v/>
      </c>
      <c r="E21" s="12"/>
      <c r="F21" s="14"/>
      <c r="G21" s="14"/>
      <c r="H21" s="21" t="n">
        <f aca="false">IF(OR(E21="",D21&lt;&gt;"รายรับ"),0,E21)</f>
        <v>0</v>
      </c>
      <c r="I21" s="21" t="n">
        <f aca="false">IF(OR(E21="",D21&lt;&gt;"รายจ่าย"),0,E21)</f>
        <v>0</v>
      </c>
      <c r="J21" s="21" t="str">
        <f aca="false">IF(E21="","",ตั้งค่า!$B$4+SUM($H$5:H21)-SUM($I$5:I21))</f>
        <v/>
      </c>
      <c r="K21" s="22" t="str">
        <f aca="false">IF(A21="","",MONTH(A21))</f>
        <v/>
      </c>
      <c r="L21" s="22" t="str">
        <f aca="false">IF(A21="","",YEAR(A21))</f>
        <v/>
      </c>
    </row>
    <row r="22" customFormat="false" ht="15" hidden="false" customHeight="false" outlineLevel="0" collapsed="false">
      <c r="A22" s="19"/>
      <c r="B22" s="14"/>
      <c r="C22" s="14"/>
      <c r="D22" s="20" t="str">
        <f aca="false">IF(C22="","",IF(COUNTIF(ตั้งค่า!$A$7:$A$18,C22)&gt;0,"รายรับ",IF(COUNTIF(ตั้งค่า!$C$7:$C$31,C22)&gt;0,"รายจ่าย","ไม่พบหมวดหมู่")))</f>
        <v/>
      </c>
      <c r="E22" s="12"/>
      <c r="F22" s="14"/>
      <c r="G22" s="14"/>
      <c r="H22" s="21" t="n">
        <f aca="false">IF(OR(E22="",D22&lt;&gt;"รายรับ"),0,E22)</f>
        <v>0</v>
      </c>
      <c r="I22" s="21" t="n">
        <f aca="false">IF(OR(E22="",D22&lt;&gt;"รายจ่าย"),0,E22)</f>
        <v>0</v>
      </c>
      <c r="J22" s="21" t="str">
        <f aca="false">IF(E22="","",ตั้งค่า!$B$4+SUM($H$5:H22)-SUM($I$5:I22))</f>
        <v/>
      </c>
      <c r="K22" s="22" t="str">
        <f aca="false">IF(A22="","",MONTH(A22))</f>
        <v/>
      </c>
      <c r="L22" s="22" t="str">
        <f aca="false">IF(A22="","",YEAR(A22))</f>
        <v/>
      </c>
    </row>
    <row r="23" customFormat="false" ht="15" hidden="false" customHeight="false" outlineLevel="0" collapsed="false">
      <c r="A23" s="19"/>
      <c r="B23" s="14"/>
      <c r="C23" s="14"/>
      <c r="D23" s="20" t="str">
        <f aca="false">IF(C23="","",IF(COUNTIF(ตั้งค่า!$A$7:$A$18,C23)&gt;0,"รายรับ",IF(COUNTIF(ตั้งค่า!$C$7:$C$31,C23)&gt;0,"รายจ่าย","ไม่พบหมวดหมู่")))</f>
        <v/>
      </c>
      <c r="E23" s="12"/>
      <c r="F23" s="14"/>
      <c r="G23" s="14"/>
      <c r="H23" s="21" t="n">
        <f aca="false">IF(OR(E23="",D23&lt;&gt;"รายรับ"),0,E23)</f>
        <v>0</v>
      </c>
      <c r="I23" s="21" t="n">
        <f aca="false">IF(OR(E23="",D23&lt;&gt;"รายจ่าย"),0,E23)</f>
        <v>0</v>
      </c>
      <c r="J23" s="21" t="str">
        <f aca="false">IF(E23="","",ตั้งค่า!$B$4+SUM($H$5:H23)-SUM($I$5:I23))</f>
        <v/>
      </c>
      <c r="K23" s="22" t="str">
        <f aca="false">IF(A23="","",MONTH(A23))</f>
        <v/>
      </c>
      <c r="L23" s="22" t="str">
        <f aca="false">IF(A23="","",YEAR(A23))</f>
        <v/>
      </c>
    </row>
    <row r="24" customFormat="false" ht="15" hidden="false" customHeight="false" outlineLevel="0" collapsed="false">
      <c r="A24" s="19"/>
      <c r="B24" s="14"/>
      <c r="C24" s="14"/>
      <c r="D24" s="20" t="str">
        <f aca="false">IF(C24="","",IF(COUNTIF(ตั้งค่า!$A$7:$A$18,C24)&gt;0,"รายรับ",IF(COUNTIF(ตั้งค่า!$C$7:$C$31,C24)&gt;0,"รายจ่าย","ไม่พบหมวดหมู่")))</f>
        <v/>
      </c>
      <c r="E24" s="12"/>
      <c r="F24" s="14"/>
      <c r="G24" s="14"/>
      <c r="H24" s="21" t="n">
        <f aca="false">IF(OR(E24="",D24&lt;&gt;"รายรับ"),0,E24)</f>
        <v>0</v>
      </c>
      <c r="I24" s="21" t="n">
        <f aca="false">IF(OR(E24="",D24&lt;&gt;"รายจ่าย"),0,E24)</f>
        <v>0</v>
      </c>
      <c r="J24" s="21" t="str">
        <f aca="false">IF(E24="","",ตั้งค่า!$B$4+SUM($H$5:H24)-SUM($I$5:I24))</f>
        <v/>
      </c>
      <c r="K24" s="22" t="str">
        <f aca="false">IF(A24="","",MONTH(A24))</f>
        <v/>
      </c>
      <c r="L24" s="22" t="str">
        <f aca="false">IF(A24="","",YEAR(A24))</f>
        <v/>
      </c>
    </row>
    <row r="25" customFormat="false" ht="15" hidden="false" customHeight="false" outlineLevel="0" collapsed="false">
      <c r="A25" s="19"/>
      <c r="B25" s="14"/>
      <c r="C25" s="14"/>
      <c r="D25" s="20" t="str">
        <f aca="false">IF(C25="","",IF(COUNTIF(ตั้งค่า!$A$7:$A$18,C25)&gt;0,"รายรับ",IF(COUNTIF(ตั้งค่า!$C$7:$C$31,C25)&gt;0,"รายจ่าย","ไม่พบหมวดหมู่")))</f>
        <v/>
      </c>
      <c r="E25" s="12"/>
      <c r="F25" s="14"/>
      <c r="G25" s="14"/>
      <c r="H25" s="21" t="n">
        <f aca="false">IF(OR(E25="",D25&lt;&gt;"รายรับ"),0,E25)</f>
        <v>0</v>
      </c>
      <c r="I25" s="21" t="n">
        <f aca="false">IF(OR(E25="",D25&lt;&gt;"รายจ่าย"),0,E25)</f>
        <v>0</v>
      </c>
      <c r="J25" s="21" t="str">
        <f aca="false">IF(E25="","",ตั้งค่า!$B$4+SUM($H$5:H25)-SUM($I$5:I25))</f>
        <v/>
      </c>
      <c r="K25" s="22" t="str">
        <f aca="false">IF(A25="","",MONTH(A25))</f>
        <v/>
      </c>
      <c r="L25" s="22" t="str">
        <f aca="false">IF(A25="","",YEAR(A25))</f>
        <v/>
      </c>
    </row>
    <row r="26" customFormat="false" ht="15" hidden="false" customHeight="false" outlineLevel="0" collapsed="false">
      <c r="A26" s="19"/>
      <c r="B26" s="14"/>
      <c r="C26" s="14"/>
      <c r="D26" s="20" t="str">
        <f aca="false">IF(C26="","",IF(COUNTIF(ตั้งค่า!$A$7:$A$18,C26)&gt;0,"รายรับ",IF(COUNTIF(ตั้งค่า!$C$7:$C$31,C26)&gt;0,"รายจ่าย","ไม่พบหมวดหมู่")))</f>
        <v/>
      </c>
      <c r="E26" s="12"/>
      <c r="F26" s="14"/>
      <c r="G26" s="14"/>
      <c r="H26" s="21" t="n">
        <f aca="false">IF(OR(E26="",D26&lt;&gt;"รายรับ"),0,E26)</f>
        <v>0</v>
      </c>
      <c r="I26" s="21" t="n">
        <f aca="false">IF(OR(E26="",D26&lt;&gt;"รายจ่าย"),0,E26)</f>
        <v>0</v>
      </c>
      <c r="J26" s="21" t="str">
        <f aca="false">IF(E26="","",ตั้งค่า!$B$4+SUM($H$5:H26)-SUM($I$5:I26))</f>
        <v/>
      </c>
      <c r="K26" s="22" t="str">
        <f aca="false">IF(A26="","",MONTH(A26))</f>
        <v/>
      </c>
      <c r="L26" s="22" t="str">
        <f aca="false">IF(A26="","",YEAR(A26))</f>
        <v/>
      </c>
    </row>
    <row r="27" customFormat="false" ht="15" hidden="false" customHeight="false" outlineLevel="0" collapsed="false">
      <c r="A27" s="19"/>
      <c r="B27" s="14"/>
      <c r="C27" s="14"/>
      <c r="D27" s="20" t="str">
        <f aca="false">IF(C27="","",IF(COUNTIF(ตั้งค่า!$A$7:$A$18,C27)&gt;0,"รายรับ",IF(COUNTIF(ตั้งค่า!$C$7:$C$31,C27)&gt;0,"รายจ่าย","ไม่พบหมวดหมู่")))</f>
        <v/>
      </c>
      <c r="E27" s="12"/>
      <c r="F27" s="14"/>
      <c r="G27" s="14"/>
      <c r="H27" s="21" t="n">
        <f aca="false">IF(OR(E27="",D27&lt;&gt;"รายรับ"),0,E27)</f>
        <v>0</v>
      </c>
      <c r="I27" s="21" t="n">
        <f aca="false">IF(OR(E27="",D27&lt;&gt;"รายจ่าย"),0,E27)</f>
        <v>0</v>
      </c>
      <c r="J27" s="21" t="str">
        <f aca="false">IF(E27="","",ตั้งค่า!$B$4+SUM($H$5:H27)-SUM($I$5:I27))</f>
        <v/>
      </c>
      <c r="K27" s="22" t="str">
        <f aca="false">IF(A27="","",MONTH(A27))</f>
        <v/>
      </c>
      <c r="L27" s="22" t="str">
        <f aca="false">IF(A27="","",YEAR(A27))</f>
        <v/>
      </c>
    </row>
    <row r="28" customFormat="false" ht="15" hidden="false" customHeight="false" outlineLevel="0" collapsed="false">
      <c r="A28" s="19"/>
      <c r="B28" s="14"/>
      <c r="C28" s="14"/>
      <c r="D28" s="20" t="str">
        <f aca="false">IF(C28="","",IF(COUNTIF(ตั้งค่า!$A$7:$A$18,C28)&gt;0,"รายรับ",IF(COUNTIF(ตั้งค่า!$C$7:$C$31,C28)&gt;0,"รายจ่าย","ไม่พบหมวดหมู่")))</f>
        <v/>
      </c>
      <c r="E28" s="12"/>
      <c r="F28" s="14"/>
      <c r="G28" s="14"/>
      <c r="H28" s="21" t="n">
        <f aca="false">IF(OR(E28="",D28&lt;&gt;"รายรับ"),0,E28)</f>
        <v>0</v>
      </c>
      <c r="I28" s="21" t="n">
        <f aca="false">IF(OR(E28="",D28&lt;&gt;"รายจ่าย"),0,E28)</f>
        <v>0</v>
      </c>
      <c r="J28" s="21" t="str">
        <f aca="false">IF(E28="","",ตั้งค่า!$B$4+SUM($H$5:H28)-SUM($I$5:I28))</f>
        <v/>
      </c>
      <c r="K28" s="22" t="str">
        <f aca="false">IF(A28="","",MONTH(A28))</f>
        <v/>
      </c>
      <c r="L28" s="22" t="str">
        <f aca="false">IF(A28="","",YEAR(A28))</f>
        <v/>
      </c>
    </row>
    <row r="29" customFormat="false" ht="15" hidden="false" customHeight="false" outlineLevel="0" collapsed="false">
      <c r="A29" s="19"/>
      <c r="B29" s="14"/>
      <c r="C29" s="14"/>
      <c r="D29" s="20" t="str">
        <f aca="false">IF(C29="","",IF(COUNTIF(ตั้งค่า!$A$7:$A$18,C29)&gt;0,"รายรับ",IF(COUNTIF(ตั้งค่า!$C$7:$C$31,C29)&gt;0,"รายจ่าย","ไม่พบหมวดหมู่")))</f>
        <v/>
      </c>
      <c r="E29" s="12"/>
      <c r="F29" s="14"/>
      <c r="G29" s="14"/>
      <c r="H29" s="21" t="n">
        <f aca="false">IF(OR(E29="",D29&lt;&gt;"รายรับ"),0,E29)</f>
        <v>0</v>
      </c>
      <c r="I29" s="21" t="n">
        <f aca="false">IF(OR(E29="",D29&lt;&gt;"รายจ่าย"),0,E29)</f>
        <v>0</v>
      </c>
      <c r="J29" s="21" t="str">
        <f aca="false">IF(E29="","",ตั้งค่า!$B$4+SUM($H$5:H29)-SUM($I$5:I29))</f>
        <v/>
      </c>
      <c r="K29" s="22" t="str">
        <f aca="false">IF(A29="","",MONTH(A29))</f>
        <v/>
      </c>
      <c r="L29" s="22" t="str">
        <f aca="false">IF(A29="","",YEAR(A29))</f>
        <v/>
      </c>
    </row>
    <row r="30" customFormat="false" ht="15" hidden="false" customHeight="false" outlineLevel="0" collapsed="false">
      <c r="A30" s="19"/>
      <c r="B30" s="14"/>
      <c r="C30" s="14"/>
      <c r="D30" s="20" t="str">
        <f aca="false">IF(C30="","",IF(COUNTIF(ตั้งค่า!$A$7:$A$18,C30)&gt;0,"รายรับ",IF(COUNTIF(ตั้งค่า!$C$7:$C$31,C30)&gt;0,"รายจ่าย","ไม่พบหมวดหมู่")))</f>
        <v/>
      </c>
      <c r="E30" s="12"/>
      <c r="F30" s="14"/>
      <c r="G30" s="14"/>
      <c r="H30" s="21" t="n">
        <f aca="false">IF(OR(E30="",D30&lt;&gt;"รายรับ"),0,E30)</f>
        <v>0</v>
      </c>
      <c r="I30" s="21" t="n">
        <f aca="false">IF(OR(E30="",D30&lt;&gt;"รายจ่าย"),0,E30)</f>
        <v>0</v>
      </c>
      <c r="J30" s="21" t="str">
        <f aca="false">IF(E30="","",ตั้งค่า!$B$4+SUM($H$5:H30)-SUM($I$5:I30))</f>
        <v/>
      </c>
      <c r="K30" s="22" t="str">
        <f aca="false">IF(A30="","",MONTH(A30))</f>
        <v/>
      </c>
      <c r="L30" s="22" t="str">
        <f aca="false">IF(A30="","",YEAR(A30))</f>
        <v/>
      </c>
    </row>
    <row r="31" customFormat="false" ht="15" hidden="false" customHeight="false" outlineLevel="0" collapsed="false">
      <c r="A31" s="19"/>
      <c r="B31" s="14"/>
      <c r="C31" s="14"/>
      <c r="D31" s="20" t="str">
        <f aca="false">IF(C31="","",IF(COUNTIF(ตั้งค่า!$A$7:$A$18,C31)&gt;0,"รายรับ",IF(COUNTIF(ตั้งค่า!$C$7:$C$31,C31)&gt;0,"รายจ่าย","ไม่พบหมวดหมู่")))</f>
        <v/>
      </c>
      <c r="E31" s="12"/>
      <c r="F31" s="14"/>
      <c r="G31" s="14"/>
      <c r="H31" s="21" t="n">
        <f aca="false">IF(OR(E31="",D31&lt;&gt;"รายรับ"),0,E31)</f>
        <v>0</v>
      </c>
      <c r="I31" s="21" t="n">
        <f aca="false">IF(OR(E31="",D31&lt;&gt;"รายจ่าย"),0,E31)</f>
        <v>0</v>
      </c>
      <c r="J31" s="21" t="str">
        <f aca="false">IF(E31="","",ตั้งค่า!$B$4+SUM($H$5:H31)-SUM($I$5:I31))</f>
        <v/>
      </c>
      <c r="K31" s="22" t="str">
        <f aca="false">IF(A31="","",MONTH(A31))</f>
        <v/>
      </c>
      <c r="L31" s="22" t="str">
        <f aca="false">IF(A31="","",YEAR(A31))</f>
        <v/>
      </c>
    </row>
    <row r="32" customFormat="false" ht="15" hidden="false" customHeight="false" outlineLevel="0" collapsed="false">
      <c r="A32" s="19"/>
      <c r="B32" s="14"/>
      <c r="C32" s="14"/>
      <c r="D32" s="20" t="str">
        <f aca="false">IF(C32="","",IF(COUNTIF(ตั้งค่า!$A$7:$A$18,C32)&gt;0,"รายรับ",IF(COUNTIF(ตั้งค่า!$C$7:$C$31,C32)&gt;0,"รายจ่าย","ไม่พบหมวดหมู่")))</f>
        <v/>
      </c>
      <c r="E32" s="12"/>
      <c r="F32" s="14"/>
      <c r="G32" s="14"/>
      <c r="H32" s="21" t="n">
        <f aca="false">IF(OR(E32="",D32&lt;&gt;"รายรับ"),0,E32)</f>
        <v>0</v>
      </c>
      <c r="I32" s="21" t="n">
        <f aca="false">IF(OR(E32="",D32&lt;&gt;"รายจ่าย"),0,E32)</f>
        <v>0</v>
      </c>
      <c r="J32" s="21" t="str">
        <f aca="false">IF(E32="","",ตั้งค่า!$B$4+SUM($H$5:H32)-SUM($I$5:I32))</f>
        <v/>
      </c>
      <c r="K32" s="22" t="str">
        <f aca="false">IF(A32="","",MONTH(A32))</f>
        <v/>
      </c>
      <c r="L32" s="22" t="str">
        <f aca="false">IF(A32="","",YEAR(A32))</f>
        <v/>
      </c>
    </row>
    <row r="33" customFormat="false" ht="15" hidden="false" customHeight="false" outlineLevel="0" collapsed="false">
      <c r="A33" s="19"/>
      <c r="B33" s="14"/>
      <c r="C33" s="14"/>
      <c r="D33" s="20" t="str">
        <f aca="false">IF(C33="","",IF(COUNTIF(ตั้งค่า!$A$7:$A$18,C33)&gt;0,"รายรับ",IF(COUNTIF(ตั้งค่า!$C$7:$C$31,C33)&gt;0,"รายจ่าย","ไม่พบหมวดหมู่")))</f>
        <v/>
      </c>
      <c r="E33" s="12"/>
      <c r="F33" s="14"/>
      <c r="G33" s="14"/>
      <c r="H33" s="21" t="n">
        <f aca="false">IF(OR(E33="",D33&lt;&gt;"รายรับ"),0,E33)</f>
        <v>0</v>
      </c>
      <c r="I33" s="21" t="n">
        <f aca="false">IF(OR(E33="",D33&lt;&gt;"รายจ่าย"),0,E33)</f>
        <v>0</v>
      </c>
      <c r="J33" s="21" t="str">
        <f aca="false">IF(E33="","",ตั้งค่า!$B$4+SUM($H$5:H33)-SUM($I$5:I33))</f>
        <v/>
      </c>
      <c r="K33" s="22" t="str">
        <f aca="false">IF(A33="","",MONTH(A33))</f>
        <v/>
      </c>
      <c r="L33" s="22" t="str">
        <f aca="false">IF(A33="","",YEAR(A33))</f>
        <v/>
      </c>
    </row>
    <row r="34" customFormat="false" ht="15" hidden="false" customHeight="false" outlineLevel="0" collapsed="false">
      <c r="A34" s="19"/>
      <c r="B34" s="14"/>
      <c r="C34" s="14"/>
      <c r="D34" s="20" t="str">
        <f aca="false">IF(C34="","",IF(COUNTIF(ตั้งค่า!$A$7:$A$18,C34)&gt;0,"รายรับ",IF(COUNTIF(ตั้งค่า!$C$7:$C$31,C34)&gt;0,"รายจ่าย","ไม่พบหมวดหมู่")))</f>
        <v/>
      </c>
      <c r="E34" s="12"/>
      <c r="F34" s="14"/>
      <c r="G34" s="14"/>
      <c r="H34" s="21" t="n">
        <f aca="false">IF(OR(E34="",D34&lt;&gt;"รายรับ"),0,E34)</f>
        <v>0</v>
      </c>
      <c r="I34" s="21" t="n">
        <f aca="false">IF(OR(E34="",D34&lt;&gt;"รายจ่าย"),0,E34)</f>
        <v>0</v>
      </c>
      <c r="J34" s="21" t="str">
        <f aca="false">IF(E34="","",ตั้งค่า!$B$4+SUM($H$5:H34)-SUM($I$5:I34))</f>
        <v/>
      </c>
      <c r="K34" s="22" t="str">
        <f aca="false">IF(A34="","",MONTH(A34))</f>
        <v/>
      </c>
      <c r="L34" s="22" t="str">
        <f aca="false">IF(A34="","",YEAR(A34))</f>
        <v/>
      </c>
    </row>
    <row r="35" customFormat="false" ht="15" hidden="false" customHeight="false" outlineLevel="0" collapsed="false">
      <c r="A35" s="19"/>
      <c r="B35" s="14"/>
      <c r="C35" s="14"/>
      <c r="D35" s="20" t="str">
        <f aca="false">IF(C35="","",IF(COUNTIF(ตั้งค่า!$A$7:$A$18,C35)&gt;0,"รายรับ",IF(COUNTIF(ตั้งค่า!$C$7:$C$31,C35)&gt;0,"รายจ่าย","ไม่พบหมวดหมู่")))</f>
        <v/>
      </c>
      <c r="E35" s="12"/>
      <c r="F35" s="14"/>
      <c r="G35" s="14"/>
      <c r="H35" s="21" t="n">
        <f aca="false">IF(OR(E35="",D35&lt;&gt;"รายรับ"),0,E35)</f>
        <v>0</v>
      </c>
      <c r="I35" s="21" t="n">
        <f aca="false">IF(OR(E35="",D35&lt;&gt;"รายจ่าย"),0,E35)</f>
        <v>0</v>
      </c>
      <c r="J35" s="21" t="str">
        <f aca="false">IF(E35="","",ตั้งค่า!$B$4+SUM($H$5:H35)-SUM($I$5:I35))</f>
        <v/>
      </c>
      <c r="K35" s="22" t="str">
        <f aca="false">IF(A35="","",MONTH(A35))</f>
        <v/>
      </c>
      <c r="L35" s="22" t="str">
        <f aca="false">IF(A35="","",YEAR(A35))</f>
        <v/>
      </c>
    </row>
    <row r="36" customFormat="false" ht="15" hidden="false" customHeight="false" outlineLevel="0" collapsed="false">
      <c r="A36" s="19"/>
      <c r="B36" s="14"/>
      <c r="C36" s="14"/>
      <c r="D36" s="20" t="str">
        <f aca="false">IF(C36="","",IF(COUNTIF(ตั้งค่า!$A$7:$A$18,C36)&gt;0,"รายรับ",IF(COUNTIF(ตั้งค่า!$C$7:$C$31,C36)&gt;0,"รายจ่าย","ไม่พบหมวดหมู่")))</f>
        <v/>
      </c>
      <c r="E36" s="12"/>
      <c r="F36" s="14"/>
      <c r="G36" s="14"/>
      <c r="H36" s="21" t="n">
        <f aca="false">IF(OR(E36="",D36&lt;&gt;"รายรับ"),0,E36)</f>
        <v>0</v>
      </c>
      <c r="I36" s="21" t="n">
        <f aca="false">IF(OR(E36="",D36&lt;&gt;"รายจ่าย"),0,E36)</f>
        <v>0</v>
      </c>
      <c r="J36" s="21" t="str">
        <f aca="false">IF(E36="","",ตั้งค่า!$B$4+SUM($H$5:H36)-SUM($I$5:I36))</f>
        <v/>
      </c>
      <c r="K36" s="22" t="str">
        <f aca="false">IF(A36="","",MONTH(A36))</f>
        <v/>
      </c>
      <c r="L36" s="22" t="str">
        <f aca="false">IF(A36="","",YEAR(A36))</f>
        <v/>
      </c>
    </row>
    <row r="37" customFormat="false" ht="15" hidden="false" customHeight="false" outlineLevel="0" collapsed="false">
      <c r="A37" s="19"/>
      <c r="B37" s="14"/>
      <c r="C37" s="14"/>
      <c r="D37" s="20" t="str">
        <f aca="false">IF(C37="","",IF(COUNTIF(ตั้งค่า!$A$7:$A$18,C37)&gt;0,"รายรับ",IF(COUNTIF(ตั้งค่า!$C$7:$C$31,C37)&gt;0,"รายจ่าย","ไม่พบหมวดหมู่")))</f>
        <v/>
      </c>
      <c r="E37" s="12"/>
      <c r="F37" s="14"/>
      <c r="G37" s="14"/>
      <c r="H37" s="21" t="n">
        <f aca="false">IF(OR(E37="",D37&lt;&gt;"รายรับ"),0,E37)</f>
        <v>0</v>
      </c>
      <c r="I37" s="21" t="n">
        <f aca="false">IF(OR(E37="",D37&lt;&gt;"รายจ่าย"),0,E37)</f>
        <v>0</v>
      </c>
      <c r="J37" s="21" t="str">
        <f aca="false">IF(E37="","",ตั้งค่า!$B$4+SUM($H$5:H37)-SUM($I$5:I37))</f>
        <v/>
      </c>
      <c r="K37" s="22" t="str">
        <f aca="false">IF(A37="","",MONTH(A37))</f>
        <v/>
      </c>
      <c r="L37" s="22" t="str">
        <f aca="false">IF(A37="","",YEAR(A37))</f>
        <v/>
      </c>
    </row>
    <row r="38" customFormat="false" ht="15" hidden="false" customHeight="false" outlineLevel="0" collapsed="false">
      <c r="A38" s="19"/>
      <c r="B38" s="14"/>
      <c r="C38" s="14"/>
      <c r="D38" s="20" t="str">
        <f aca="false">IF(C38="","",IF(COUNTIF(ตั้งค่า!$A$7:$A$18,C38)&gt;0,"รายรับ",IF(COUNTIF(ตั้งค่า!$C$7:$C$31,C38)&gt;0,"รายจ่าย","ไม่พบหมวดหมู่")))</f>
        <v/>
      </c>
      <c r="E38" s="12"/>
      <c r="F38" s="14"/>
      <c r="G38" s="14"/>
      <c r="H38" s="21" t="n">
        <f aca="false">IF(OR(E38="",D38&lt;&gt;"รายรับ"),0,E38)</f>
        <v>0</v>
      </c>
      <c r="I38" s="21" t="n">
        <f aca="false">IF(OR(E38="",D38&lt;&gt;"รายจ่าย"),0,E38)</f>
        <v>0</v>
      </c>
      <c r="J38" s="21" t="str">
        <f aca="false">IF(E38="","",ตั้งค่า!$B$4+SUM($H$5:H38)-SUM($I$5:I38))</f>
        <v/>
      </c>
      <c r="K38" s="22" t="str">
        <f aca="false">IF(A38="","",MONTH(A38))</f>
        <v/>
      </c>
      <c r="L38" s="22" t="str">
        <f aca="false">IF(A38="","",YEAR(A38))</f>
        <v/>
      </c>
    </row>
    <row r="39" customFormat="false" ht="15" hidden="false" customHeight="false" outlineLevel="0" collapsed="false">
      <c r="A39" s="19"/>
      <c r="B39" s="14"/>
      <c r="C39" s="14"/>
      <c r="D39" s="20" t="str">
        <f aca="false">IF(C39="","",IF(COUNTIF(ตั้งค่า!$A$7:$A$18,C39)&gt;0,"รายรับ",IF(COUNTIF(ตั้งค่า!$C$7:$C$31,C39)&gt;0,"รายจ่าย","ไม่พบหมวดหมู่")))</f>
        <v/>
      </c>
      <c r="E39" s="12"/>
      <c r="F39" s="14"/>
      <c r="G39" s="14"/>
      <c r="H39" s="21" t="n">
        <f aca="false">IF(OR(E39="",D39&lt;&gt;"รายรับ"),0,E39)</f>
        <v>0</v>
      </c>
      <c r="I39" s="21" t="n">
        <f aca="false">IF(OR(E39="",D39&lt;&gt;"รายจ่าย"),0,E39)</f>
        <v>0</v>
      </c>
      <c r="J39" s="21" t="str">
        <f aca="false">IF(E39="","",ตั้งค่า!$B$4+SUM($H$5:H39)-SUM($I$5:I39))</f>
        <v/>
      </c>
      <c r="K39" s="22" t="str">
        <f aca="false">IF(A39="","",MONTH(A39))</f>
        <v/>
      </c>
      <c r="L39" s="22" t="str">
        <f aca="false">IF(A39="","",YEAR(A39))</f>
        <v/>
      </c>
    </row>
    <row r="40" customFormat="false" ht="15" hidden="false" customHeight="false" outlineLevel="0" collapsed="false">
      <c r="A40" s="19"/>
      <c r="B40" s="14"/>
      <c r="C40" s="14"/>
      <c r="D40" s="20" t="str">
        <f aca="false">IF(C40="","",IF(COUNTIF(ตั้งค่า!$A$7:$A$18,C40)&gt;0,"รายรับ",IF(COUNTIF(ตั้งค่า!$C$7:$C$31,C40)&gt;0,"รายจ่าย","ไม่พบหมวดหมู่")))</f>
        <v/>
      </c>
      <c r="E40" s="12"/>
      <c r="F40" s="14"/>
      <c r="G40" s="14"/>
      <c r="H40" s="21" t="n">
        <f aca="false">IF(OR(E40="",D40&lt;&gt;"รายรับ"),0,E40)</f>
        <v>0</v>
      </c>
      <c r="I40" s="21" t="n">
        <f aca="false">IF(OR(E40="",D40&lt;&gt;"รายจ่าย"),0,E40)</f>
        <v>0</v>
      </c>
      <c r="J40" s="21" t="str">
        <f aca="false">IF(E40="","",ตั้งค่า!$B$4+SUM($H$5:H40)-SUM($I$5:I40))</f>
        <v/>
      </c>
      <c r="K40" s="22" t="str">
        <f aca="false">IF(A40="","",MONTH(A40))</f>
        <v/>
      </c>
      <c r="L40" s="22" t="str">
        <f aca="false">IF(A40="","",YEAR(A40))</f>
        <v/>
      </c>
    </row>
    <row r="41" customFormat="false" ht="15" hidden="false" customHeight="false" outlineLevel="0" collapsed="false">
      <c r="A41" s="19"/>
      <c r="B41" s="14"/>
      <c r="C41" s="14"/>
      <c r="D41" s="20" t="str">
        <f aca="false">IF(C41="","",IF(COUNTIF(ตั้งค่า!$A$7:$A$18,C41)&gt;0,"รายรับ",IF(COUNTIF(ตั้งค่า!$C$7:$C$31,C41)&gt;0,"รายจ่าย","ไม่พบหมวดหมู่")))</f>
        <v/>
      </c>
      <c r="E41" s="12"/>
      <c r="F41" s="14"/>
      <c r="G41" s="14"/>
      <c r="H41" s="21" t="n">
        <f aca="false">IF(OR(E41="",D41&lt;&gt;"รายรับ"),0,E41)</f>
        <v>0</v>
      </c>
      <c r="I41" s="21" t="n">
        <f aca="false">IF(OR(E41="",D41&lt;&gt;"รายจ่าย"),0,E41)</f>
        <v>0</v>
      </c>
      <c r="J41" s="21" t="str">
        <f aca="false">IF(E41="","",ตั้งค่า!$B$4+SUM($H$5:H41)-SUM($I$5:I41))</f>
        <v/>
      </c>
      <c r="K41" s="22" t="str">
        <f aca="false">IF(A41="","",MONTH(A41))</f>
        <v/>
      </c>
      <c r="L41" s="22" t="str">
        <f aca="false">IF(A41="","",YEAR(A41))</f>
        <v/>
      </c>
    </row>
    <row r="42" customFormat="false" ht="15" hidden="false" customHeight="false" outlineLevel="0" collapsed="false">
      <c r="A42" s="19"/>
      <c r="B42" s="14"/>
      <c r="C42" s="14"/>
      <c r="D42" s="20" t="str">
        <f aca="false">IF(C42="","",IF(COUNTIF(ตั้งค่า!$A$7:$A$18,C42)&gt;0,"รายรับ",IF(COUNTIF(ตั้งค่า!$C$7:$C$31,C42)&gt;0,"รายจ่าย","ไม่พบหมวดหมู่")))</f>
        <v/>
      </c>
      <c r="E42" s="12"/>
      <c r="F42" s="14"/>
      <c r="G42" s="14"/>
      <c r="H42" s="21" t="n">
        <f aca="false">IF(OR(E42="",D42&lt;&gt;"รายรับ"),0,E42)</f>
        <v>0</v>
      </c>
      <c r="I42" s="21" t="n">
        <f aca="false">IF(OR(E42="",D42&lt;&gt;"รายจ่าย"),0,E42)</f>
        <v>0</v>
      </c>
      <c r="J42" s="21" t="str">
        <f aca="false">IF(E42="","",ตั้งค่า!$B$4+SUM($H$5:H42)-SUM($I$5:I42))</f>
        <v/>
      </c>
      <c r="K42" s="22" t="str">
        <f aca="false">IF(A42="","",MONTH(A42))</f>
        <v/>
      </c>
      <c r="L42" s="22" t="str">
        <f aca="false">IF(A42="","",YEAR(A42))</f>
        <v/>
      </c>
    </row>
    <row r="43" customFormat="false" ht="15" hidden="false" customHeight="false" outlineLevel="0" collapsed="false">
      <c r="A43" s="19"/>
      <c r="B43" s="14"/>
      <c r="C43" s="14"/>
      <c r="D43" s="20" t="str">
        <f aca="false">IF(C43="","",IF(COUNTIF(ตั้งค่า!$A$7:$A$18,C43)&gt;0,"รายรับ",IF(COUNTIF(ตั้งค่า!$C$7:$C$31,C43)&gt;0,"รายจ่าย","ไม่พบหมวดหมู่")))</f>
        <v/>
      </c>
      <c r="E43" s="12"/>
      <c r="F43" s="14"/>
      <c r="G43" s="14"/>
      <c r="H43" s="21" t="n">
        <f aca="false">IF(OR(E43="",D43&lt;&gt;"รายรับ"),0,E43)</f>
        <v>0</v>
      </c>
      <c r="I43" s="21" t="n">
        <f aca="false">IF(OR(E43="",D43&lt;&gt;"รายจ่าย"),0,E43)</f>
        <v>0</v>
      </c>
      <c r="J43" s="21" t="str">
        <f aca="false">IF(E43="","",ตั้งค่า!$B$4+SUM($H$5:H43)-SUM($I$5:I43))</f>
        <v/>
      </c>
      <c r="K43" s="22" t="str">
        <f aca="false">IF(A43="","",MONTH(A43))</f>
        <v/>
      </c>
      <c r="L43" s="22" t="str">
        <f aca="false">IF(A43="","",YEAR(A43))</f>
        <v/>
      </c>
    </row>
    <row r="44" customFormat="false" ht="15" hidden="false" customHeight="false" outlineLevel="0" collapsed="false">
      <c r="A44" s="19"/>
      <c r="B44" s="14"/>
      <c r="C44" s="14"/>
      <c r="D44" s="20" t="str">
        <f aca="false">IF(C44="","",IF(COUNTIF(ตั้งค่า!$A$7:$A$18,C44)&gt;0,"รายรับ",IF(COUNTIF(ตั้งค่า!$C$7:$C$31,C44)&gt;0,"รายจ่าย","ไม่พบหมวดหมู่")))</f>
        <v/>
      </c>
      <c r="E44" s="12"/>
      <c r="F44" s="14"/>
      <c r="G44" s="14"/>
      <c r="H44" s="21" t="n">
        <f aca="false">IF(OR(E44="",D44&lt;&gt;"รายรับ"),0,E44)</f>
        <v>0</v>
      </c>
      <c r="I44" s="21" t="n">
        <f aca="false">IF(OR(E44="",D44&lt;&gt;"รายจ่าย"),0,E44)</f>
        <v>0</v>
      </c>
      <c r="J44" s="21" t="str">
        <f aca="false">IF(E44="","",ตั้งค่า!$B$4+SUM($H$5:H44)-SUM($I$5:I44))</f>
        <v/>
      </c>
      <c r="K44" s="22" t="str">
        <f aca="false">IF(A44="","",MONTH(A44))</f>
        <v/>
      </c>
      <c r="L44" s="22" t="str">
        <f aca="false">IF(A44="","",YEAR(A44))</f>
        <v/>
      </c>
    </row>
    <row r="45" customFormat="false" ht="15" hidden="false" customHeight="false" outlineLevel="0" collapsed="false">
      <c r="A45" s="19"/>
      <c r="B45" s="14"/>
      <c r="C45" s="14"/>
      <c r="D45" s="20" t="str">
        <f aca="false">IF(C45="","",IF(COUNTIF(ตั้งค่า!$A$7:$A$18,C45)&gt;0,"รายรับ",IF(COUNTIF(ตั้งค่า!$C$7:$C$31,C45)&gt;0,"รายจ่าย","ไม่พบหมวดหมู่")))</f>
        <v/>
      </c>
      <c r="E45" s="12"/>
      <c r="F45" s="14"/>
      <c r="G45" s="14"/>
      <c r="H45" s="21" t="n">
        <f aca="false">IF(OR(E45="",D45&lt;&gt;"รายรับ"),0,E45)</f>
        <v>0</v>
      </c>
      <c r="I45" s="21" t="n">
        <f aca="false">IF(OR(E45="",D45&lt;&gt;"รายจ่าย"),0,E45)</f>
        <v>0</v>
      </c>
      <c r="J45" s="21" t="str">
        <f aca="false">IF(E45="","",ตั้งค่า!$B$4+SUM($H$5:H45)-SUM($I$5:I45))</f>
        <v/>
      </c>
      <c r="K45" s="22" t="str">
        <f aca="false">IF(A45="","",MONTH(A45))</f>
        <v/>
      </c>
      <c r="L45" s="22" t="str">
        <f aca="false">IF(A45="","",YEAR(A45))</f>
        <v/>
      </c>
    </row>
    <row r="46" customFormat="false" ht="15" hidden="false" customHeight="false" outlineLevel="0" collapsed="false">
      <c r="A46" s="19"/>
      <c r="B46" s="14"/>
      <c r="C46" s="14"/>
      <c r="D46" s="20" t="str">
        <f aca="false">IF(C46="","",IF(COUNTIF(ตั้งค่า!$A$7:$A$18,C46)&gt;0,"รายรับ",IF(COUNTIF(ตั้งค่า!$C$7:$C$31,C46)&gt;0,"รายจ่าย","ไม่พบหมวดหมู่")))</f>
        <v/>
      </c>
      <c r="E46" s="12"/>
      <c r="F46" s="14"/>
      <c r="G46" s="14"/>
      <c r="H46" s="21" t="n">
        <f aca="false">IF(OR(E46="",D46&lt;&gt;"รายรับ"),0,E46)</f>
        <v>0</v>
      </c>
      <c r="I46" s="21" t="n">
        <f aca="false">IF(OR(E46="",D46&lt;&gt;"รายจ่าย"),0,E46)</f>
        <v>0</v>
      </c>
      <c r="J46" s="21" t="str">
        <f aca="false">IF(E46="","",ตั้งค่า!$B$4+SUM($H$5:H46)-SUM($I$5:I46))</f>
        <v/>
      </c>
      <c r="K46" s="22" t="str">
        <f aca="false">IF(A46="","",MONTH(A46))</f>
        <v/>
      </c>
      <c r="L46" s="22" t="str">
        <f aca="false">IF(A46="","",YEAR(A46))</f>
        <v/>
      </c>
    </row>
    <row r="47" customFormat="false" ht="15" hidden="false" customHeight="false" outlineLevel="0" collapsed="false">
      <c r="A47" s="19"/>
      <c r="B47" s="14"/>
      <c r="C47" s="14"/>
      <c r="D47" s="20" t="str">
        <f aca="false">IF(C47="","",IF(COUNTIF(ตั้งค่า!$A$7:$A$18,C47)&gt;0,"รายรับ",IF(COUNTIF(ตั้งค่า!$C$7:$C$31,C47)&gt;0,"รายจ่าย","ไม่พบหมวดหมู่")))</f>
        <v/>
      </c>
      <c r="E47" s="12"/>
      <c r="F47" s="14"/>
      <c r="G47" s="14"/>
      <c r="H47" s="21" t="n">
        <f aca="false">IF(OR(E47="",D47&lt;&gt;"รายรับ"),0,E47)</f>
        <v>0</v>
      </c>
      <c r="I47" s="21" t="n">
        <f aca="false">IF(OR(E47="",D47&lt;&gt;"รายจ่าย"),0,E47)</f>
        <v>0</v>
      </c>
      <c r="J47" s="21" t="str">
        <f aca="false">IF(E47="","",ตั้งค่า!$B$4+SUM($H$5:H47)-SUM($I$5:I47))</f>
        <v/>
      </c>
      <c r="K47" s="22" t="str">
        <f aca="false">IF(A47="","",MONTH(A47))</f>
        <v/>
      </c>
      <c r="L47" s="22" t="str">
        <f aca="false">IF(A47="","",YEAR(A47))</f>
        <v/>
      </c>
    </row>
    <row r="48" customFormat="false" ht="15" hidden="false" customHeight="false" outlineLevel="0" collapsed="false">
      <c r="A48" s="19"/>
      <c r="B48" s="14"/>
      <c r="C48" s="14"/>
      <c r="D48" s="20" t="str">
        <f aca="false">IF(C48="","",IF(COUNTIF(ตั้งค่า!$A$7:$A$18,C48)&gt;0,"รายรับ",IF(COUNTIF(ตั้งค่า!$C$7:$C$31,C48)&gt;0,"รายจ่าย","ไม่พบหมวดหมู่")))</f>
        <v/>
      </c>
      <c r="E48" s="12"/>
      <c r="F48" s="14"/>
      <c r="G48" s="14"/>
      <c r="H48" s="21" t="n">
        <f aca="false">IF(OR(E48="",D48&lt;&gt;"รายรับ"),0,E48)</f>
        <v>0</v>
      </c>
      <c r="I48" s="21" t="n">
        <f aca="false">IF(OR(E48="",D48&lt;&gt;"รายจ่าย"),0,E48)</f>
        <v>0</v>
      </c>
      <c r="J48" s="21" t="str">
        <f aca="false">IF(E48="","",ตั้งค่า!$B$4+SUM($H$5:H48)-SUM($I$5:I48))</f>
        <v/>
      </c>
      <c r="K48" s="22" t="str">
        <f aca="false">IF(A48="","",MONTH(A48))</f>
        <v/>
      </c>
      <c r="L48" s="22" t="str">
        <f aca="false">IF(A48="","",YEAR(A48))</f>
        <v/>
      </c>
    </row>
    <row r="49" customFormat="false" ht="15" hidden="false" customHeight="false" outlineLevel="0" collapsed="false">
      <c r="A49" s="19"/>
      <c r="B49" s="14"/>
      <c r="C49" s="14"/>
      <c r="D49" s="20" t="str">
        <f aca="false">IF(C49="","",IF(COUNTIF(ตั้งค่า!$A$7:$A$18,C49)&gt;0,"รายรับ",IF(COUNTIF(ตั้งค่า!$C$7:$C$31,C49)&gt;0,"รายจ่าย","ไม่พบหมวดหมู่")))</f>
        <v/>
      </c>
      <c r="E49" s="12"/>
      <c r="F49" s="14"/>
      <c r="G49" s="14"/>
      <c r="H49" s="21" t="n">
        <f aca="false">IF(OR(E49="",D49&lt;&gt;"รายรับ"),0,E49)</f>
        <v>0</v>
      </c>
      <c r="I49" s="21" t="n">
        <f aca="false">IF(OR(E49="",D49&lt;&gt;"รายจ่าย"),0,E49)</f>
        <v>0</v>
      </c>
      <c r="J49" s="21" t="str">
        <f aca="false">IF(E49="","",ตั้งค่า!$B$4+SUM($H$5:H49)-SUM($I$5:I49))</f>
        <v/>
      </c>
      <c r="K49" s="22" t="str">
        <f aca="false">IF(A49="","",MONTH(A49))</f>
        <v/>
      </c>
      <c r="L49" s="22" t="str">
        <f aca="false">IF(A49="","",YEAR(A49))</f>
        <v/>
      </c>
    </row>
    <row r="50" customFormat="false" ht="15" hidden="false" customHeight="false" outlineLevel="0" collapsed="false">
      <c r="A50" s="19"/>
      <c r="B50" s="14"/>
      <c r="C50" s="14"/>
      <c r="D50" s="20" t="str">
        <f aca="false">IF(C50="","",IF(COUNTIF(ตั้งค่า!$A$7:$A$18,C50)&gt;0,"รายรับ",IF(COUNTIF(ตั้งค่า!$C$7:$C$31,C50)&gt;0,"รายจ่าย","ไม่พบหมวดหมู่")))</f>
        <v/>
      </c>
      <c r="E50" s="12"/>
      <c r="F50" s="14"/>
      <c r="G50" s="14"/>
      <c r="H50" s="21" t="n">
        <f aca="false">IF(OR(E50="",D50&lt;&gt;"รายรับ"),0,E50)</f>
        <v>0</v>
      </c>
      <c r="I50" s="21" t="n">
        <f aca="false">IF(OR(E50="",D50&lt;&gt;"รายจ่าย"),0,E50)</f>
        <v>0</v>
      </c>
      <c r="J50" s="21" t="str">
        <f aca="false">IF(E50="","",ตั้งค่า!$B$4+SUM($H$5:H50)-SUM($I$5:I50))</f>
        <v/>
      </c>
      <c r="K50" s="22" t="str">
        <f aca="false">IF(A50="","",MONTH(A50))</f>
        <v/>
      </c>
      <c r="L50" s="22" t="str">
        <f aca="false">IF(A50="","",YEAR(A50))</f>
        <v/>
      </c>
    </row>
    <row r="51" customFormat="false" ht="15" hidden="false" customHeight="false" outlineLevel="0" collapsed="false">
      <c r="A51" s="19"/>
      <c r="B51" s="14"/>
      <c r="C51" s="14"/>
      <c r="D51" s="20" t="str">
        <f aca="false">IF(C51="","",IF(COUNTIF(ตั้งค่า!$A$7:$A$18,C51)&gt;0,"รายรับ",IF(COUNTIF(ตั้งค่า!$C$7:$C$31,C51)&gt;0,"รายจ่าย","ไม่พบหมวดหมู่")))</f>
        <v/>
      </c>
      <c r="E51" s="12"/>
      <c r="F51" s="14"/>
      <c r="G51" s="14"/>
      <c r="H51" s="21" t="n">
        <f aca="false">IF(OR(E51="",D51&lt;&gt;"รายรับ"),0,E51)</f>
        <v>0</v>
      </c>
      <c r="I51" s="21" t="n">
        <f aca="false">IF(OR(E51="",D51&lt;&gt;"รายจ่าย"),0,E51)</f>
        <v>0</v>
      </c>
      <c r="J51" s="21" t="str">
        <f aca="false">IF(E51="","",ตั้งค่า!$B$4+SUM($H$5:H51)-SUM($I$5:I51))</f>
        <v/>
      </c>
      <c r="K51" s="22" t="str">
        <f aca="false">IF(A51="","",MONTH(A51))</f>
        <v/>
      </c>
      <c r="L51" s="22" t="str">
        <f aca="false">IF(A51="","",YEAR(A51))</f>
        <v/>
      </c>
    </row>
    <row r="52" customFormat="false" ht="15" hidden="false" customHeight="false" outlineLevel="0" collapsed="false">
      <c r="A52" s="19"/>
      <c r="B52" s="14"/>
      <c r="C52" s="14"/>
      <c r="D52" s="20" t="str">
        <f aca="false">IF(C52="","",IF(COUNTIF(ตั้งค่า!$A$7:$A$18,C52)&gt;0,"รายรับ",IF(COUNTIF(ตั้งค่า!$C$7:$C$31,C52)&gt;0,"รายจ่าย","ไม่พบหมวดหมู่")))</f>
        <v/>
      </c>
      <c r="E52" s="12"/>
      <c r="F52" s="14"/>
      <c r="G52" s="14"/>
      <c r="H52" s="21" t="n">
        <f aca="false">IF(OR(E52="",D52&lt;&gt;"รายรับ"),0,E52)</f>
        <v>0</v>
      </c>
      <c r="I52" s="21" t="n">
        <f aca="false">IF(OR(E52="",D52&lt;&gt;"รายจ่าย"),0,E52)</f>
        <v>0</v>
      </c>
      <c r="J52" s="21" t="str">
        <f aca="false">IF(E52="","",ตั้งค่า!$B$4+SUM($H$5:H52)-SUM($I$5:I52))</f>
        <v/>
      </c>
      <c r="K52" s="22" t="str">
        <f aca="false">IF(A52="","",MONTH(A52))</f>
        <v/>
      </c>
      <c r="L52" s="22" t="str">
        <f aca="false">IF(A52="","",YEAR(A52))</f>
        <v/>
      </c>
    </row>
    <row r="53" customFormat="false" ht="15" hidden="false" customHeight="false" outlineLevel="0" collapsed="false">
      <c r="A53" s="19"/>
      <c r="B53" s="14"/>
      <c r="C53" s="14"/>
      <c r="D53" s="20" t="str">
        <f aca="false">IF(C53="","",IF(COUNTIF(ตั้งค่า!$A$7:$A$18,C53)&gt;0,"รายรับ",IF(COUNTIF(ตั้งค่า!$C$7:$C$31,C53)&gt;0,"รายจ่าย","ไม่พบหมวดหมู่")))</f>
        <v/>
      </c>
      <c r="E53" s="12"/>
      <c r="F53" s="14"/>
      <c r="G53" s="14"/>
      <c r="H53" s="21" t="n">
        <f aca="false">IF(OR(E53="",D53&lt;&gt;"รายรับ"),0,E53)</f>
        <v>0</v>
      </c>
      <c r="I53" s="21" t="n">
        <f aca="false">IF(OR(E53="",D53&lt;&gt;"รายจ่าย"),0,E53)</f>
        <v>0</v>
      </c>
      <c r="J53" s="21" t="str">
        <f aca="false">IF(E53="","",ตั้งค่า!$B$4+SUM($H$5:H53)-SUM($I$5:I53))</f>
        <v/>
      </c>
      <c r="K53" s="22" t="str">
        <f aca="false">IF(A53="","",MONTH(A53))</f>
        <v/>
      </c>
      <c r="L53" s="22" t="str">
        <f aca="false">IF(A53="","",YEAR(A53))</f>
        <v/>
      </c>
    </row>
    <row r="54" customFormat="false" ht="15" hidden="false" customHeight="false" outlineLevel="0" collapsed="false">
      <c r="A54" s="19"/>
      <c r="B54" s="14"/>
      <c r="C54" s="14"/>
      <c r="D54" s="20" t="str">
        <f aca="false">IF(C54="","",IF(COUNTIF(ตั้งค่า!$A$7:$A$18,C54)&gt;0,"รายรับ",IF(COUNTIF(ตั้งค่า!$C$7:$C$31,C54)&gt;0,"รายจ่าย","ไม่พบหมวดหมู่")))</f>
        <v/>
      </c>
      <c r="E54" s="12"/>
      <c r="F54" s="14"/>
      <c r="G54" s="14"/>
      <c r="H54" s="21" t="n">
        <f aca="false">IF(OR(E54="",D54&lt;&gt;"รายรับ"),0,E54)</f>
        <v>0</v>
      </c>
      <c r="I54" s="21" t="n">
        <f aca="false">IF(OR(E54="",D54&lt;&gt;"รายจ่าย"),0,E54)</f>
        <v>0</v>
      </c>
      <c r="J54" s="21" t="str">
        <f aca="false">IF(E54="","",ตั้งค่า!$B$4+SUM($H$5:H54)-SUM($I$5:I54))</f>
        <v/>
      </c>
      <c r="K54" s="22" t="str">
        <f aca="false">IF(A54="","",MONTH(A54))</f>
        <v/>
      </c>
      <c r="L54" s="22" t="str">
        <f aca="false">IF(A54="","",YEAR(A54))</f>
        <v/>
      </c>
    </row>
    <row r="55" customFormat="false" ht="15" hidden="false" customHeight="false" outlineLevel="0" collapsed="false">
      <c r="A55" s="19"/>
      <c r="B55" s="14"/>
      <c r="C55" s="14"/>
      <c r="D55" s="20" t="str">
        <f aca="false">IF(C55="","",IF(COUNTIF(ตั้งค่า!$A$7:$A$18,C55)&gt;0,"รายรับ",IF(COUNTIF(ตั้งค่า!$C$7:$C$31,C55)&gt;0,"รายจ่าย","ไม่พบหมวดหมู่")))</f>
        <v/>
      </c>
      <c r="E55" s="12"/>
      <c r="F55" s="14"/>
      <c r="G55" s="14"/>
      <c r="H55" s="21" t="n">
        <f aca="false">IF(OR(E55="",D55&lt;&gt;"รายรับ"),0,E55)</f>
        <v>0</v>
      </c>
      <c r="I55" s="21" t="n">
        <f aca="false">IF(OR(E55="",D55&lt;&gt;"รายจ่าย"),0,E55)</f>
        <v>0</v>
      </c>
      <c r="J55" s="21" t="str">
        <f aca="false">IF(E55="","",ตั้งค่า!$B$4+SUM($H$5:H55)-SUM($I$5:I55))</f>
        <v/>
      </c>
      <c r="K55" s="22" t="str">
        <f aca="false">IF(A55="","",MONTH(A55))</f>
        <v/>
      </c>
      <c r="L55" s="22" t="str">
        <f aca="false">IF(A55="","",YEAR(A55))</f>
        <v/>
      </c>
    </row>
    <row r="56" customFormat="false" ht="15" hidden="false" customHeight="false" outlineLevel="0" collapsed="false">
      <c r="A56" s="19"/>
      <c r="B56" s="14"/>
      <c r="C56" s="14"/>
      <c r="D56" s="20" t="str">
        <f aca="false">IF(C56="","",IF(COUNTIF(ตั้งค่า!$A$7:$A$18,C56)&gt;0,"รายรับ",IF(COUNTIF(ตั้งค่า!$C$7:$C$31,C56)&gt;0,"รายจ่าย","ไม่พบหมวดหมู่")))</f>
        <v/>
      </c>
      <c r="E56" s="12"/>
      <c r="F56" s="14"/>
      <c r="G56" s="14"/>
      <c r="H56" s="21" t="n">
        <f aca="false">IF(OR(E56="",D56&lt;&gt;"รายรับ"),0,E56)</f>
        <v>0</v>
      </c>
      <c r="I56" s="21" t="n">
        <f aca="false">IF(OR(E56="",D56&lt;&gt;"รายจ่าย"),0,E56)</f>
        <v>0</v>
      </c>
      <c r="J56" s="21" t="str">
        <f aca="false">IF(E56="","",ตั้งค่า!$B$4+SUM($H$5:H56)-SUM($I$5:I56))</f>
        <v/>
      </c>
      <c r="K56" s="22" t="str">
        <f aca="false">IF(A56="","",MONTH(A56))</f>
        <v/>
      </c>
      <c r="L56" s="22" t="str">
        <f aca="false">IF(A56="","",YEAR(A56))</f>
        <v/>
      </c>
    </row>
    <row r="57" customFormat="false" ht="15" hidden="false" customHeight="false" outlineLevel="0" collapsed="false">
      <c r="A57" s="19"/>
      <c r="B57" s="14"/>
      <c r="C57" s="14"/>
      <c r="D57" s="20" t="str">
        <f aca="false">IF(C57="","",IF(COUNTIF(ตั้งค่า!$A$7:$A$18,C57)&gt;0,"รายรับ",IF(COUNTIF(ตั้งค่า!$C$7:$C$31,C57)&gt;0,"รายจ่าย","ไม่พบหมวดหมู่")))</f>
        <v/>
      </c>
      <c r="E57" s="12"/>
      <c r="F57" s="14"/>
      <c r="G57" s="14"/>
      <c r="H57" s="21" t="n">
        <f aca="false">IF(OR(E57="",D57&lt;&gt;"รายรับ"),0,E57)</f>
        <v>0</v>
      </c>
      <c r="I57" s="21" t="n">
        <f aca="false">IF(OR(E57="",D57&lt;&gt;"รายจ่าย"),0,E57)</f>
        <v>0</v>
      </c>
      <c r="J57" s="21" t="str">
        <f aca="false">IF(E57="","",ตั้งค่า!$B$4+SUM($H$5:H57)-SUM($I$5:I57))</f>
        <v/>
      </c>
      <c r="K57" s="22" t="str">
        <f aca="false">IF(A57="","",MONTH(A57))</f>
        <v/>
      </c>
      <c r="L57" s="22" t="str">
        <f aca="false">IF(A57="","",YEAR(A57))</f>
        <v/>
      </c>
    </row>
    <row r="58" customFormat="false" ht="15" hidden="false" customHeight="false" outlineLevel="0" collapsed="false">
      <c r="A58" s="19"/>
      <c r="B58" s="14"/>
      <c r="C58" s="14"/>
      <c r="D58" s="20" t="str">
        <f aca="false">IF(C58="","",IF(COUNTIF(ตั้งค่า!$A$7:$A$18,C58)&gt;0,"รายรับ",IF(COUNTIF(ตั้งค่า!$C$7:$C$31,C58)&gt;0,"รายจ่าย","ไม่พบหมวดหมู่")))</f>
        <v/>
      </c>
      <c r="E58" s="12"/>
      <c r="F58" s="14"/>
      <c r="G58" s="14"/>
      <c r="H58" s="21" t="n">
        <f aca="false">IF(OR(E58="",D58&lt;&gt;"รายรับ"),0,E58)</f>
        <v>0</v>
      </c>
      <c r="I58" s="21" t="n">
        <f aca="false">IF(OR(E58="",D58&lt;&gt;"รายจ่าย"),0,E58)</f>
        <v>0</v>
      </c>
      <c r="J58" s="21" t="str">
        <f aca="false">IF(E58="","",ตั้งค่า!$B$4+SUM($H$5:H58)-SUM($I$5:I58))</f>
        <v/>
      </c>
      <c r="K58" s="22" t="str">
        <f aca="false">IF(A58="","",MONTH(A58))</f>
        <v/>
      </c>
      <c r="L58" s="22" t="str">
        <f aca="false">IF(A58="","",YEAR(A58))</f>
        <v/>
      </c>
    </row>
    <row r="59" customFormat="false" ht="15" hidden="false" customHeight="false" outlineLevel="0" collapsed="false">
      <c r="A59" s="19"/>
      <c r="B59" s="14"/>
      <c r="C59" s="14"/>
      <c r="D59" s="20" t="str">
        <f aca="false">IF(C59="","",IF(COUNTIF(ตั้งค่า!$A$7:$A$18,C59)&gt;0,"รายรับ",IF(COUNTIF(ตั้งค่า!$C$7:$C$31,C59)&gt;0,"รายจ่าย","ไม่พบหมวดหมู่")))</f>
        <v/>
      </c>
      <c r="E59" s="12"/>
      <c r="F59" s="14"/>
      <c r="G59" s="14"/>
      <c r="H59" s="21" t="n">
        <f aca="false">IF(OR(E59="",D59&lt;&gt;"รายรับ"),0,E59)</f>
        <v>0</v>
      </c>
      <c r="I59" s="21" t="n">
        <f aca="false">IF(OR(E59="",D59&lt;&gt;"รายจ่าย"),0,E59)</f>
        <v>0</v>
      </c>
      <c r="J59" s="21" t="str">
        <f aca="false">IF(E59="","",ตั้งค่า!$B$4+SUM($H$5:H59)-SUM($I$5:I59))</f>
        <v/>
      </c>
      <c r="K59" s="22" t="str">
        <f aca="false">IF(A59="","",MONTH(A59))</f>
        <v/>
      </c>
      <c r="L59" s="22" t="str">
        <f aca="false">IF(A59="","",YEAR(A59))</f>
        <v/>
      </c>
    </row>
    <row r="60" customFormat="false" ht="15" hidden="false" customHeight="false" outlineLevel="0" collapsed="false">
      <c r="A60" s="19"/>
      <c r="B60" s="14"/>
      <c r="C60" s="14"/>
      <c r="D60" s="20" t="str">
        <f aca="false">IF(C60="","",IF(COUNTIF(ตั้งค่า!$A$7:$A$18,C60)&gt;0,"รายรับ",IF(COUNTIF(ตั้งค่า!$C$7:$C$31,C60)&gt;0,"รายจ่าย","ไม่พบหมวดหมู่")))</f>
        <v/>
      </c>
      <c r="E60" s="12"/>
      <c r="F60" s="14"/>
      <c r="G60" s="14"/>
      <c r="H60" s="21" t="n">
        <f aca="false">IF(OR(E60="",D60&lt;&gt;"รายรับ"),0,E60)</f>
        <v>0</v>
      </c>
      <c r="I60" s="21" t="n">
        <f aca="false">IF(OR(E60="",D60&lt;&gt;"รายจ่าย"),0,E60)</f>
        <v>0</v>
      </c>
      <c r="J60" s="21" t="str">
        <f aca="false">IF(E60="","",ตั้งค่า!$B$4+SUM($H$5:H60)-SUM($I$5:I60))</f>
        <v/>
      </c>
      <c r="K60" s="22" t="str">
        <f aca="false">IF(A60="","",MONTH(A60))</f>
        <v/>
      </c>
      <c r="L60" s="22" t="str">
        <f aca="false">IF(A60="","",YEAR(A60))</f>
        <v/>
      </c>
    </row>
    <row r="61" customFormat="false" ht="15" hidden="false" customHeight="false" outlineLevel="0" collapsed="false">
      <c r="A61" s="19"/>
      <c r="B61" s="14"/>
      <c r="C61" s="14"/>
      <c r="D61" s="20" t="str">
        <f aca="false">IF(C61="","",IF(COUNTIF(ตั้งค่า!$A$7:$A$18,C61)&gt;0,"รายรับ",IF(COUNTIF(ตั้งค่า!$C$7:$C$31,C61)&gt;0,"รายจ่าย","ไม่พบหมวดหมู่")))</f>
        <v/>
      </c>
      <c r="E61" s="12"/>
      <c r="F61" s="14"/>
      <c r="G61" s="14"/>
      <c r="H61" s="21" t="n">
        <f aca="false">IF(OR(E61="",D61&lt;&gt;"รายรับ"),0,E61)</f>
        <v>0</v>
      </c>
      <c r="I61" s="21" t="n">
        <f aca="false">IF(OR(E61="",D61&lt;&gt;"รายจ่าย"),0,E61)</f>
        <v>0</v>
      </c>
      <c r="J61" s="21" t="str">
        <f aca="false">IF(E61="","",ตั้งค่า!$B$4+SUM($H$5:H61)-SUM($I$5:I61))</f>
        <v/>
      </c>
      <c r="K61" s="22" t="str">
        <f aca="false">IF(A61="","",MONTH(A61))</f>
        <v/>
      </c>
      <c r="L61" s="22" t="str">
        <f aca="false">IF(A61="","",YEAR(A61))</f>
        <v/>
      </c>
    </row>
    <row r="62" customFormat="false" ht="15" hidden="false" customHeight="false" outlineLevel="0" collapsed="false">
      <c r="A62" s="19"/>
      <c r="B62" s="14"/>
      <c r="C62" s="14"/>
      <c r="D62" s="20" t="str">
        <f aca="false">IF(C62="","",IF(COUNTIF(ตั้งค่า!$A$7:$A$18,C62)&gt;0,"รายรับ",IF(COUNTIF(ตั้งค่า!$C$7:$C$31,C62)&gt;0,"รายจ่าย","ไม่พบหมวดหมู่")))</f>
        <v/>
      </c>
      <c r="E62" s="12"/>
      <c r="F62" s="14"/>
      <c r="G62" s="14"/>
      <c r="H62" s="21" t="n">
        <f aca="false">IF(OR(E62="",D62&lt;&gt;"รายรับ"),0,E62)</f>
        <v>0</v>
      </c>
      <c r="I62" s="21" t="n">
        <f aca="false">IF(OR(E62="",D62&lt;&gt;"รายจ่าย"),0,E62)</f>
        <v>0</v>
      </c>
      <c r="J62" s="21" t="str">
        <f aca="false">IF(E62="","",ตั้งค่า!$B$4+SUM($H$5:H62)-SUM($I$5:I62))</f>
        <v/>
      </c>
      <c r="K62" s="22" t="str">
        <f aca="false">IF(A62="","",MONTH(A62))</f>
        <v/>
      </c>
      <c r="L62" s="22" t="str">
        <f aca="false">IF(A62="","",YEAR(A62))</f>
        <v/>
      </c>
    </row>
    <row r="63" customFormat="false" ht="15" hidden="false" customHeight="false" outlineLevel="0" collapsed="false">
      <c r="A63" s="19"/>
      <c r="B63" s="14"/>
      <c r="C63" s="14"/>
      <c r="D63" s="20" t="str">
        <f aca="false">IF(C63="","",IF(COUNTIF(ตั้งค่า!$A$7:$A$18,C63)&gt;0,"รายรับ",IF(COUNTIF(ตั้งค่า!$C$7:$C$31,C63)&gt;0,"รายจ่าย","ไม่พบหมวดหมู่")))</f>
        <v/>
      </c>
      <c r="E63" s="12"/>
      <c r="F63" s="14"/>
      <c r="G63" s="14"/>
      <c r="H63" s="21" t="n">
        <f aca="false">IF(OR(E63="",D63&lt;&gt;"รายรับ"),0,E63)</f>
        <v>0</v>
      </c>
      <c r="I63" s="21" t="n">
        <f aca="false">IF(OR(E63="",D63&lt;&gt;"รายจ่าย"),0,E63)</f>
        <v>0</v>
      </c>
      <c r="J63" s="21" t="str">
        <f aca="false">IF(E63="","",ตั้งค่า!$B$4+SUM($H$5:H63)-SUM($I$5:I63))</f>
        <v/>
      </c>
      <c r="K63" s="22" t="str">
        <f aca="false">IF(A63="","",MONTH(A63))</f>
        <v/>
      </c>
      <c r="L63" s="22" t="str">
        <f aca="false">IF(A63="","",YEAR(A63))</f>
        <v/>
      </c>
    </row>
    <row r="64" customFormat="false" ht="15" hidden="false" customHeight="false" outlineLevel="0" collapsed="false">
      <c r="A64" s="19"/>
      <c r="B64" s="14"/>
      <c r="C64" s="14"/>
      <c r="D64" s="20" t="str">
        <f aca="false">IF(C64="","",IF(COUNTIF(ตั้งค่า!$A$7:$A$18,C64)&gt;0,"รายรับ",IF(COUNTIF(ตั้งค่า!$C$7:$C$31,C64)&gt;0,"รายจ่าย","ไม่พบหมวดหมู่")))</f>
        <v/>
      </c>
      <c r="E64" s="12"/>
      <c r="F64" s="14"/>
      <c r="G64" s="14"/>
      <c r="H64" s="21" t="n">
        <f aca="false">IF(OR(E64="",D64&lt;&gt;"รายรับ"),0,E64)</f>
        <v>0</v>
      </c>
      <c r="I64" s="21" t="n">
        <f aca="false">IF(OR(E64="",D64&lt;&gt;"รายจ่าย"),0,E64)</f>
        <v>0</v>
      </c>
      <c r="J64" s="21" t="str">
        <f aca="false">IF(E64="","",ตั้งค่า!$B$4+SUM($H$5:H64)-SUM($I$5:I64))</f>
        <v/>
      </c>
      <c r="K64" s="22" t="str">
        <f aca="false">IF(A64="","",MONTH(A64))</f>
        <v/>
      </c>
      <c r="L64" s="22" t="str">
        <f aca="false">IF(A64="","",YEAR(A64))</f>
        <v/>
      </c>
    </row>
    <row r="65" customFormat="false" ht="15" hidden="false" customHeight="false" outlineLevel="0" collapsed="false">
      <c r="A65" s="19"/>
      <c r="B65" s="14"/>
      <c r="C65" s="14"/>
      <c r="D65" s="20" t="str">
        <f aca="false">IF(C65="","",IF(COUNTIF(ตั้งค่า!$A$7:$A$18,C65)&gt;0,"รายรับ",IF(COUNTIF(ตั้งค่า!$C$7:$C$31,C65)&gt;0,"รายจ่าย","ไม่พบหมวดหมู่")))</f>
        <v/>
      </c>
      <c r="E65" s="12"/>
      <c r="F65" s="14"/>
      <c r="G65" s="14"/>
      <c r="H65" s="21" t="n">
        <f aca="false">IF(OR(E65="",D65&lt;&gt;"รายรับ"),0,E65)</f>
        <v>0</v>
      </c>
      <c r="I65" s="21" t="n">
        <f aca="false">IF(OR(E65="",D65&lt;&gt;"รายจ่าย"),0,E65)</f>
        <v>0</v>
      </c>
      <c r="J65" s="21" t="str">
        <f aca="false">IF(E65="","",ตั้งค่า!$B$4+SUM($H$5:H65)-SUM($I$5:I65))</f>
        <v/>
      </c>
      <c r="K65" s="22" t="str">
        <f aca="false">IF(A65="","",MONTH(A65))</f>
        <v/>
      </c>
      <c r="L65" s="22" t="str">
        <f aca="false">IF(A65="","",YEAR(A65))</f>
        <v/>
      </c>
    </row>
    <row r="66" customFormat="false" ht="15" hidden="false" customHeight="false" outlineLevel="0" collapsed="false">
      <c r="A66" s="19"/>
      <c r="B66" s="14"/>
      <c r="C66" s="14"/>
      <c r="D66" s="20" t="str">
        <f aca="false">IF(C66="","",IF(COUNTIF(ตั้งค่า!$A$7:$A$18,C66)&gt;0,"รายรับ",IF(COUNTIF(ตั้งค่า!$C$7:$C$31,C66)&gt;0,"รายจ่าย","ไม่พบหมวดหมู่")))</f>
        <v/>
      </c>
      <c r="E66" s="12"/>
      <c r="F66" s="14"/>
      <c r="G66" s="14"/>
      <c r="H66" s="21" t="n">
        <f aca="false">IF(OR(E66="",D66&lt;&gt;"รายรับ"),0,E66)</f>
        <v>0</v>
      </c>
      <c r="I66" s="21" t="n">
        <f aca="false">IF(OR(E66="",D66&lt;&gt;"รายจ่าย"),0,E66)</f>
        <v>0</v>
      </c>
      <c r="J66" s="21" t="str">
        <f aca="false">IF(E66="","",ตั้งค่า!$B$4+SUM($H$5:H66)-SUM($I$5:I66))</f>
        <v/>
      </c>
      <c r="K66" s="22" t="str">
        <f aca="false">IF(A66="","",MONTH(A66))</f>
        <v/>
      </c>
      <c r="L66" s="22" t="str">
        <f aca="false">IF(A66="","",YEAR(A66))</f>
        <v/>
      </c>
    </row>
    <row r="67" customFormat="false" ht="15" hidden="false" customHeight="false" outlineLevel="0" collapsed="false">
      <c r="A67" s="19"/>
      <c r="B67" s="14"/>
      <c r="C67" s="14"/>
      <c r="D67" s="20" t="str">
        <f aca="false">IF(C67="","",IF(COUNTIF(ตั้งค่า!$A$7:$A$18,C67)&gt;0,"รายรับ",IF(COUNTIF(ตั้งค่า!$C$7:$C$31,C67)&gt;0,"รายจ่าย","ไม่พบหมวดหมู่")))</f>
        <v/>
      </c>
      <c r="E67" s="12"/>
      <c r="F67" s="14"/>
      <c r="G67" s="14"/>
      <c r="H67" s="21" t="n">
        <f aca="false">IF(OR(E67="",D67&lt;&gt;"รายรับ"),0,E67)</f>
        <v>0</v>
      </c>
      <c r="I67" s="21" t="n">
        <f aca="false">IF(OR(E67="",D67&lt;&gt;"รายจ่าย"),0,E67)</f>
        <v>0</v>
      </c>
      <c r="J67" s="21" t="str">
        <f aca="false">IF(E67="","",ตั้งค่า!$B$4+SUM($H$5:H67)-SUM($I$5:I67))</f>
        <v/>
      </c>
      <c r="K67" s="22" t="str">
        <f aca="false">IF(A67="","",MONTH(A67))</f>
        <v/>
      </c>
      <c r="L67" s="22" t="str">
        <f aca="false">IF(A67="","",YEAR(A67))</f>
        <v/>
      </c>
    </row>
    <row r="68" customFormat="false" ht="15" hidden="false" customHeight="false" outlineLevel="0" collapsed="false">
      <c r="A68" s="19"/>
      <c r="B68" s="14"/>
      <c r="C68" s="14"/>
      <c r="D68" s="20" t="str">
        <f aca="false">IF(C68="","",IF(COUNTIF(ตั้งค่า!$A$7:$A$18,C68)&gt;0,"รายรับ",IF(COUNTIF(ตั้งค่า!$C$7:$C$31,C68)&gt;0,"รายจ่าย","ไม่พบหมวดหมู่")))</f>
        <v/>
      </c>
      <c r="E68" s="12"/>
      <c r="F68" s="14"/>
      <c r="G68" s="14"/>
      <c r="H68" s="21" t="n">
        <f aca="false">IF(OR(E68="",D68&lt;&gt;"รายรับ"),0,E68)</f>
        <v>0</v>
      </c>
      <c r="I68" s="21" t="n">
        <f aca="false">IF(OR(E68="",D68&lt;&gt;"รายจ่าย"),0,E68)</f>
        <v>0</v>
      </c>
      <c r="J68" s="21" t="str">
        <f aca="false">IF(E68="","",ตั้งค่า!$B$4+SUM($H$5:H68)-SUM($I$5:I68))</f>
        <v/>
      </c>
      <c r="K68" s="22" t="str">
        <f aca="false">IF(A68="","",MONTH(A68))</f>
        <v/>
      </c>
      <c r="L68" s="22" t="str">
        <f aca="false">IF(A68="","",YEAR(A68))</f>
        <v/>
      </c>
    </row>
    <row r="69" customFormat="false" ht="15" hidden="false" customHeight="false" outlineLevel="0" collapsed="false">
      <c r="A69" s="19"/>
      <c r="B69" s="14"/>
      <c r="C69" s="14"/>
      <c r="D69" s="20" t="str">
        <f aca="false">IF(C69="","",IF(COUNTIF(ตั้งค่า!$A$7:$A$18,C69)&gt;0,"รายรับ",IF(COUNTIF(ตั้งค่า!$C$7:$C$31,C69)&gt;0,"รายจ่าย","ไม่พบหมวดหมู่")))</f>
        <v/>
      </c>
      <c r="E69" s="12"/>
      <c r="F69" s="14"/>
      <c r="G69" s="14"/>
      <c r="H69" s="21" t="n">
        <f aca="false">IF(OR(E69="",D69&lt;&gt;"รายรับ"),0,E69)</f>
        <v>0</v>
      </c>
      <c r="I69" s="21" t="n">
        <f aca="false">IF(OR(E69="",D69&lt;&gt;"รายจ่าย"),0,E69)</f>
        <v>0</v>
      </c>
      <c r="J69" s="21" t="str">
        <f aca="false">IF(E69="","",ตั้งค่า!$B$4+SUM($H$5:H69)-SUM($I$5:I69))</f>
        <v/>
      </c>
      <c r="K69" s="22" t="str">
        <f aca="false">IF(A69="","",MONTH(A69))</f>
        <v/>
      </c>
      <c r="L69" s="22" t="str">
        <f aca="false">IF(A69="","",YEAR(A69))</f>
        <v/>
      </c>
    </row>
    <row r="70" customFormat="false" ht="15" hidden="false" customHeight="false" outlineLevel="0" collapsed="false">
      <c r="A70" s="19"/>
      <c r="B70" s="14"/>
      <c r="C70" s="14"/>
      <c r="D70" s="20" t="str">
        <f aca="false">IF(C70="","",IF(COUNTIF(ตั้งค่า!$A$7:$A$18,C70)&gt;0,"รายรับ",IF(COUNTIF(ตั้งค่า!$C$7:$C$31,C70)&gt;0,"รายจ่าย","ไม่พบหมวดหมู่")))</f>
        <v/>
      </c>
      <c r="E70" s="12"/>
      <c r="F70" s="14"/>
      <c r="G70" s="14"/>
      <c r="H70" s="21" t="n">
        <f aca="false">IF(OR(E70="",D70&lt;&gt;"รายรับ"),0,E70)</f>
        <v>0</v>
      </c>
      <c r="I70" s="21" t="n">
        <f aca="false">IF(OR(E70="",D70&lt;&gt;"รายจ่าย"),0,E70)</f>
        <v>0</v>
      </c>
      <c r="J70" s="21" t="str">
        <f aca="false">IF(E70="","",ตั้งค่า!$B$4+SUM($H$5:H70)-SUM($I$5:I70))</f>
        <v/>
      </c>
      <c r="K70" s="22" t="str">
        <f aca="false">IF(A70="","",MONTH(A70))</f>
        <v/>
      </c>
      <c r="L70" s="22" t="str">
        <f aca="false">IF(A70="","",YEAR(A70))</f>
        <v/>
      </c>
    </row>
    <row r="71" customFormat="false" ht="15" hidden="false" customHeight="false" outlineLevel="0" collapsed="false">
      <c r="A71" s="19"/>
      <c r="B71" s="14"/>
      <c r="C71" s="14"/>
      <c r="D71" s="20" t="str">
        <f aca="false">IF(C71="","",IF(COUNTIF(ตั้งค่า!$A$7:$A$18,C71)&gt;0,"รายรับ",IF(COUNTIF(ตั้งค่า!$C$7:$C$31,C71)&gt;0,"รายจ่าย","ไม่พบหมวดหมู่")))</f>
        <v/>
      </c>
      <c r="E71" s="12"/>
      <c r="F71" s="14"/>
      <c r="G71" s="14"/>
      <c r="H71" s="21" t="n">
        <f aca="false">IF(OR(E71="",D71&lt;&gt;"รายรับ"),0,E71)</f>
        <v>0</v>
      </c>
      <c r="I71" s="21" t="n">
        <f aca="false">IF(OR(E71="",D71&lt;&gt;"รายจ่าย"),0,E71)</f>
        <v>0</v>
      </c>
      <c r="J71" s="21" t="str">
        <f aca="false">IF(E71="","",ตั้งค่า!$B$4+SUM($H$5:H71)-SUM($I$5:I71))</f>
        <v/>
      </c>
      <c r="K71" s="22" t="str">
        <f aca="false">IF(A71="","",MONTH(A71))</f>
        <v/>
      </c>
      <c r="L71" s="22" t="str">
        <f aca="false">IF(A71="","",YEAR(A71))</f>
        <v/>
      </c>
    </row>
    <row r="72" customFormat="false" ht="15" hidden="false" customHeight="false" outlineLevel="0" collapsed="false">
      <c r="A72" s="19"/>
      <c r="B72" s="14"/>
      <c r="C72" s="14"/>
      <c r="D72" s="20" t="str">
        <f aca="false">IF(C72="","",IF(COUNTIF(ตั้งค่า!$A$7:$A$18,C72)&gt;0,"รายรับ",IF(COUNTIF(ตั้งค่า!$C$7:$C$31,C72)&gt;0,"รายจ่าย","ไม่พบหมวดหมู่")))</f>
        <v/>
      </c>
      <c r="E72" s="12"/>
      <c r="F72" s="14"/>
      <c r="G72" s="14"/>
      <c r="H72" s="21" t="n">
        <f aca="false">IF(OR(E72="",D72&lt;&gt;"รายรับ"),0,E72)</f>
        <v>0</v>
      </c>
      <c r="I72" s="21" t="n">
        <f aca="false">IF(OR(E72="",D72&lt;&gt;"รายจ่าย"),0,E72)</f>
        <v>0</v>
      </c>
      <c r="J72" s="21" t="str">
        <f aca="false">IF(E72="","",ตั้งค่า!$B$4+SUM($H$5:H72)-SUM($I$5:I72))</f>
        <v/>
      </c>
      <c r="K72" s="22" t="str">
        <f aca="false">IF(A72="","",MONTH(A72))</f>
        <v/>
      </c>
      <c r="L72" s="22" t="str">
        <f aca="false">IF(A72="","",YEAR(A72))</f>
        <v/>
      </c>
    </row>
    <row r="73" customFormat="false" ht="15" hidden="false" customHeight="false" outlineLevel="0" collapsed="false">
      <c r="A73" s="19"/>
      <c r="B73" s="14"/>
      <c r="C73" s="14"/>
      <c r="D73" s="20" t="str">
        <f aca="false">IF(C73="","",IF(COUNTIF(ตั้งค่า!$A$7:$A$18,C73)&gt;0,"รายรับ",IF(COUNTIF(ตั้งค่า!$C$7:$C$31,C73)&gt;0,"รายจ่าย","ไม่พบหมวดหมู่")))</f>
        <v/>
      </c>
      <c r="E73" s="12"/>
      <c r="F73" s="14"/>
      <c r="G73" s="14"/>
      <c r="H73" s="21" t="n">
        <f aca="false">IF(OR(E73="",D73&lt;&gt;"รายรับ"),0,E73)</f>
        <v>0</v>
      </c>
      <c r="I73" s="21" t="n">
        <f aca="false">IF(OR(E73="",D73&lt;&gt;"รายจ่าย"),0,E73)</f>
        <v>0</v>
      </c>
      <c r="J73" s="21" t="str">
        <f aca="false">IF(E73="","",ตั้งค่า!$B$4+SUM($H$5:H73)-SUM($I$5:I73))</f>
        <v/>
      </c>
      <c r="K73" s="22" t="str">
        <f aca="false">IF(A73="","",MONTH(A73))</f>
        <v/>
      </c>
      <c r="L73" s="22" t="str">
        <f aca="false">IF(A73="","",YEAR(A73))</f>
        <v/>
      </c>
    </row>
    <row r="74" customFormat="false" ht="15" hidden="false" customHeight="false" outlineLevel="0" collapsed="false">
      <c r="A74" s="19"/>
      <c r="B74" s="14"/>
      <c r="C74" s="14"/>
      <c r="D74" s="20" t="str">
        <f aca="false">IF(C74="","",IF(COUNTIF(ตั้งค่า!$A$7:$A$18,C74)&gt;0,"รายรับ",IF(COUNTIF(ตั้งค่า!$C$7:$C$31,C74)&gt;0,"รายจ่าย","ไม่พบหมวดหมู่")))</f>
        <v/>
      </c>
      <c r="E74" s="12"/>
      <c r="F74" s="14"/>
      <c r="G74" s="14"/>
      <c r="H74" s="21" t="n">
        <f aca="false">IF(OR(E74="",D74&lt;&gt;"รายรับ"),0,E74)</f>
        <v>0</v>
      </c>
      <c r="I74" s="21" t="n">
        <f aca="false">IF(OR(E74="",D74&lt;&gt;"รายจ่าย"),0,E74)</f>
        <v>0</v>
      </c>
      <c r="J74" s="21" t="str">
        <f aca="false">IF(E74="","",ตั้งค่า!$B$4+SUM($H$5:H74)-SUM($I$5:I74))</f>
        <v/>
      </c>
      <c r="K74" s="22" t="str">
        <f aca="false">IF(A74="","",MONTH(A74))</f>
        <v/>
      </c>
      <c r="L74" s="22" t="str">
        <f aca="false">IF(A74="","",YEAR(A74))</f>
        <v/>
      </c>
    </row>
    <row r="75" customFormat="false" ht="15" hidden="false" customHeight="false" outlineLevel="0" collapsed="false">
      <c r="A75" s="19"/>
      <c r="B75" s="14"/>
      <c r="C75" s="14"/>
      <c r="D75" s="20" t="str">
        <f aca="false">IF(C75="","",IF(COUNTIF(ตั้งค่า!$A$7:$A$18,C75)&gt;0,"รายรับ",IF(COUNTIF(ตั้งค่า!$C$7:$C$31,C75)&gt;0,"รายจ่าย","ไม่พบหมวดหมู่")))</f>
        <v/>
      </c>
      <c r="E75" s="12"/>
      <c r="F75" s="14"/>
      <c r="G75" s="14"/>
      <c r="H75" s="21" t="n">
        <f aca="false">IF(OR(E75="",D75&lt;&gt;"รายรับ"),0,E75)</f>
        <v>0</v>
      </c>
      <c r="I75" s="21" t="n">
        <f aca="false">IF(OR(E75="",D75&lt;&gt;"รายจ่าย"),0,E75)</f>
        <v>0</v>
      </c>
      <c r="J75" s="21" t="str">
        <f aca="false">IF(E75="","",ตั้งค่า!$B$4+SUM($H$5:H75)-SUM($I$5:I75))</f>
        <v/>
      </c>
      <c r="K75" s="22" t="str">
        <f aca="false">IF(A75="","",MONTH(A75))</f>
        <v/>
      </c>
      <c r="L75" s="22" t="str">
        <f aca="false">IF(A75="","",YEAR(A75))</f>
        <v/>
      </c>
    </row>
    <row r="76" customFormat="false" ht="15" hidden="false" customHeight="false" outlineLevel="0" collapsed="false">
      <c r="A76" s="19"/>
      <c r="B76" s="14"/>
      <c r="C76" s="14"/>
      <c r="D76" s="20" t="str">
        <f aca="false">IF(C76="","",IF(COUNTIF(ตั้งค่า!$A$7:$A$18,C76)&gt;0,"รายรับ",IF(COUNTIF(ตั้งค่า!$C$7:$C$31,C76)&gt;0,"รายจ่าย","ไม่พบหมวดหมู่")))</f>
        <v/>
      </c>
      <c r="E76" s="12"/>
      <c r="F76" s="14"/>
      <c r="G76" s="14"/>
      <c r="H76" s="21" t="n">
        <f aca="false">IF(OR(E76="",D76&lt;&gt;"รายรับ"),0,E76)</f>
        <v>0</v>
      </c>
      <c r="I76" s="21" t="n">
        <f aca="false">IF(OR(E76="",D76&lt;&gt;"รายจ่าย"),0,E76)</f>
        <v>0</v>
      </c>
      <c r="J76" s="21" t="str">
        <f aca="false">IF(E76="","",ตั้งค่า!$B$4+SUM($H$5:H76)-SUM($I$5:I76))</f>
        <v/>
      </c>
      <c r="K76" s="22" t="str">
        <f aca="false">IF(A76="","",MONTH(A76))</f>
        <v/>
      </c>
      <c r="L76" s="22" t="str">
        <f aca="false">IF(A76="","",YEAR(A76))</f>
        <v/>
      </c>
    </row>
    <row r="77" customFormat="false" ht="15" hidden="false" customHeight="false" outlineLevel="0" collapsed="false">
      <c r="A77" s="19"/>
      <c r="B77" s="14"/>
      <c r="C77" s="14"/>
      <c r="D77" s="20" t="str">
        <f aca="false">IF(C77="","",IF(COUNTIF(ตั้งค่า!$A$7:$A$18,C77)&gt;0,"รายรับ",IF(COUNTIF(ตั้งค่า!$C$7:$C$31,C77)&gt;0,"รายจ่าย","ไม่พบหมวดหมู่")))</f>
        <v/>
      </c>
      <c r="E77" s="12"/>
      <c r="F77" s="14"/>
      <c r="G77" s="14"/>
      <c r="H77" s="21" t="n">
        <f aca="false">IF(OR(E77="",D77&lt;&gt;"รายรับ"),0,E77)</f>
        <v>0</v>
      </c>
      <c r="I77" s="21" t="n">
        <f aca="false">IF(OR(E77="",D77&lt;&gt;"รายจ่าย"),0,E77)</f>
        <v>0</v>
      </c>
      <c r="J77" s="21" t="str">
        <f aca="false">IF(E77="","",ตั้งค่า!$B$4+SUM($H$5:H77)-SUM($I$5:I77))</f>
        <v/>
      </c>
      <c r="K77" s="22" t="str">
        <f aca="false">IF(A77="","",MONTH(A77))</f>
        <v/>
      </c>
      <c r="L77" s="22" t="str">
        <f aca="false">IF(A77="","",YEAR(A77))</f>
        <v/>
      </c>
    </row>
    <row r="78" customFormat="false" ht="15" hidden="false" customHeight="false" outlineLevel="0" collapsed="false">
      <c r="A78" s="19"/>
      <c r="B78" s="14"/>
      <c r="C78" s="14"/>
      <c r="D78" s="20" t="str">
        <f aca="false">IF(C78="","",IF(COUNTIF(ตั้งค่า!$A$7:$A$18,C78)&gt;0,"รายรับ",IF(COUNTIF(ตั้งค่า!$C$7:$C$31,C78)&gt;0,"รายจ่าย","ไม่พบหมวดหมู่")))</f>
        <v/>
      </c>
      <c r="E78" s="12"/>
      <c r="F78" s="14"/>
      <c r="G78" s="14"/>
      <c r="H78" s="21" t="n">
        <f aca="false">IF(OR(E78="",D78&lt;&gt;"รายรับ"),0,E78)</f>
        <v>0</v>
      </c>
      <c r="I78" s="21" t="n">
        <f aca="false">IF(OR(E78="",D78&lt;&gt;"รายจ่าย"),0,E78)</f>
        <v>0</v>
      </c>
      <c r="J78" s="21" t="str">
        <f aca="false">IF(E78="","",ตั้งค่า!$B$4+SUM($H$5:H78)-SUM($I$5:I78))</f>
        <v/>
      </c>
      <c r="K78" s="22" t="str">
        <f aca="false">IF(A78="","",MONTH(A78))</f>
        <v/>
      </c>
      <c r="L78" s="22" t="str">
        <f aca="false">IF(A78="","",YEAR(A78))</f>
        <v/>
      </c>
    </row>
    <row r="79" customFormat="false" ht="15" hidden="false" customHeight="false" outlineLevel="0" collapsed="false">
      <c r="A79" s="19"/>
      <c r="B79" s="14"/>
      <c r="C79" s="14"/>
      <c r="D79" s="20" t="str">
        <f aca="false">IF(C79="","",IF(COUNTIF(ตั้งค่า!$A$7:$A$18,C79)&gt;0,"รายรับ",IF(COUNTIF(ตั้งค่า!$C$7:$C$31,C79)&gt;0,"รายจ่าย","ไม่พบหมวดหมู่")))</f>
        <v/>
      </c>
      <c r="E79" s="12"/>
      <c r="F79" s="14"/>
      <c r="G79" s="14"/>
      <c r="H79" s="21" t="n">
        <f aca="false">IF(OR(E79="",D79&lt;&gt;"รายรับ"),0,E79)</f>
        <v>0</v>
      </c>
      <c r="I79" s="21" t="n">
        <f aca="false">IF(OR(E79="",D79&lt;&gt;"รายจ่าย"),0,E79)</f>
        <v>0</v>
      </c>
      <c r="J79" s="21" t="str">
        <f aca="false">IF(E79="","",ตั้งค่า!$B$4+SUM($H$5:H79)-SUM($I$5:I79))</f>
        <v/>
      </c>
      <c r="K79" s="22" t="str">
        <f aca="false">IF(A79="","",MONTH(A79))</f>
        <v/>
      </c>
      <c r="L79" s="22" t="str">
        <f aca="false">IF(A79="","",YEAR(A79))</f>
        <v/>
      </c>
    </row>
    <row r="80" customFormat="false" ht="15" hidden="false" customHeight="false" outlineLevel="0" collapsed="false">
      <c r="A80" s="19"/>
      <c r="B80" s="14"/>
      <c r="C80" s="14"/>
      <c r="D80" s="20" t="str">
        <f aca="false">IF(C80="","",IF(COUNTIF(ตั้งค่า!$A$7:$A$18,C80)&gt;0,"รายรับ",IF(COUNTIF(ตั้งค่า!$C$7:$C$31,C80)&gt;0,"รายจ่าย","ไม่พบหมวดหมู่")))</f>
        <v/>
      </c>
      <c r="E80" s="12"/>
      <c r="F80" s="14"/>
      <c r="G80" s="14"/>
      <c r="H80" s="21" t="n">
        <f aca="false">IF(OR(E80="",D80&lt;&gt;"รายรับ"),0,E80)</f>
        <v>0</v>
      </c>
      <c r="I80" s="21" t="n">
        <f aca="false">IF(OR(E80="",D80&lt;&gt;"รายจ่าย"),0,E80)</f>
        <v>0</v>
      </c>
      <c r="J80" s="21" t="str">
        <f aca="false">IF(E80="","",ตั้งค่า!$B$4+SUM($H$5:H80)-SUM($I$5:I80))</f>
        <v/>
      </c>
      <c r="K80" s="22" t="str">
        <f aca="false">IF(A80="","",MONTH(A80))</f>
        <v/>
      </c>
      <c r="L80" s="22" t="str">
        <f aca="false">IF(A80="","",YEAR(A80))</f>
        <v/>
      </c>
    </row>
    <row r="81" customFormat="false" ht="15" hidden="false" customHeight="false" outlineLevel="0" collapsed="false">
      <c r="A81" s="19"/>
      <c r="B81" s="14"/>
      <c r="C81" s="14"/>
      <c r="D81" s="20" t="str">
        <f aca="false">IF(C81="","",IF(COUNTIF(ตั้งค่า!$A$7:$A$18,C81)&gt;0,"รายรับ",IF(COUNTIF(ตั้งค่า!$C$7:$C$31,C81)&gt;0,"รายจ่าย","ไม่พบหมวดหมู่")))</f>
        <v/>
      </c>
      <c r="E81" s="12"/>
      <c r="F81" s="14"/>
      <c r="G81" s="14"/>
      <c r="H81" s="21" t="n">
        <f aca="false">IF(OR(E81="",D81&lt;&gt;"รายรับ"),0,E81)</f>
        <v>0</v>
      </c>
      <c r="I81" s="21" t="n">
        <f aca="false">IF(OR(E81="",D81&lt;&gt;"รายจ่าย"),0,E81)</f>
        <v>0</v>
      </c>
      <c r="J81" s="21" t="str">
        <f aca="false">IF(E81="","",ตั้งค่า!$B$4+SUM($H$5:H81)-SUM($I$5:I81))</f>
        <v/>
      </c>
      <c r="K81" s="22" t="str">
        <f aca="false">IF(A81="","",MONTH(A81))</f>
        <v/>
      </c>
      <c r="L81" s="22" t="str">
        <f aca="false">IF(A81="","",YEAR(A81))</f>
        <v/>
      </c>
    </row>
    <row r="82" customFormat="false" ht="15" hidden="false" customHeight="false" outlineLevel="0" collapsed="false">
      <c r="A82" s="19"/>
      <c r="B82" s="14"/>
      <c r="C82" s="14"/>
      <c r="D82" s="20" t="str">
        <f aca="false">IF(C82="","",IF(COUNTIF(ตั้งค่า!$A$7:$A$18,C82)&gt;0,"รายรับ",IF(COUNTIF(ตั้งค่า!$C$7:$C$31,C82)&gt;0,"รายจ่าย","ไม่พบหมวดหมู่")))</f>
        <v/>
      </c>
      <c r="E82" s="12"/>
      <c r="F82" s="14"/>
      <c r="G82" s="14"/>
      <c r="H82" s="21" t="n">
        <f aca="false">IF(OR(E82="",D82&lt;&gt;"รายรับ"),0,E82)</f>
        <v>0</v>
      </c>
      <c r="I82" s="21" t="n">
        <f aca="false">IF(OR(E82="",D82&lt;&gt;"รายจ่าย"),0,E82)</f>
        <v>0</v>
      </c>
      <c r="J82" s="21" t="str">
        <f aca="false">IF(E82="","",ตั้งค่า!$B$4+SUM($H$5:H82)-SUM($I$5:I82))</f>
        <v/>
      </c>
      <c r="K82" s="22" t="str">
        <f aca="false">IF(A82="","",MONTH(A82))</f>
        <v/>
      </c>
      <c r="L82" s="22" t="str">
        <f aca="false">IF(A82="","",YEAR(A82))</f>
        <v/>
      </c>
    </row>
    <row r="83" customFormat="false" ht="15" hidden="false" customHeight="false" outlineLevel="0" collapsed="false">
      <c r="A83" s="19"/>
      <c r="B83" s="14"/>
      <c r="C83" s="14"/>
      <c r="D83" s="20" t="str">
        <f aca="false">IF(C83="","",IF(COUNTIF(ตั้งค่า!$A$7:$A$18,C83)&gt;0,"รายรับ",IF(COUNTIF(ตั้งค่า!$C$7:$C$31,C83)&gt;0,"รายจ่าย","ไม่พบหมวดหมู่")))</f>
        <v/>
      </c>
      <c r="E83" s="12"/>
      <c r="F83" s="14"/>
      <c r="G83" s="14"/>
      <c r="H83" s="21" t="n">
        <f aca="false">IF(OR(E83="",D83&lt;&gt;"รายรับ"),0,E83)</f>
        <v>0</v>
      </c>
      <c r="I83" s="21" t="n">
        <f aca="false">IF(OR(E83="",D83&lt;&gt;"รายจ่าย"),0,E83)</f>
        <v>0</v>
      </c>
      <c r="J83" s="21" t="str">
        <f aca="false">IF(E83="","",ตั้งค่า!$B$4+SUM($H$5:H83)-SUM($I$5:I83))</f>
        <v/>
      </c>
      <c r="K83" s="22" t="str">
        <f aca="false">IF(A83="","",MONTH(A83))</f>
        <v/>
      </c>
      <c r="L83" s="22" t="str">
        <f aca="false">IF(A83="","",YEAR(A83))</f>
        <v/>
      </c>
    </row>
    <row r="84" customFormat="false" ht="15" hidden="false" customHeight="false" outlineLevel="0" collapsed="false">
      <c r="A84" s="19"/>
      <c r="B84" s="14"/>
      <c r="C84" s="14"/>
      <c r="D84" s="20" t="str">
        <f aca="false">IF(C84="","",IF(COUNTIF(ตั้งค่า!$A$7:$A$18,C84)&gt;0,"รายรับ",IF(COUNTIF(ตั้งค่า!$C$7:$C$31,C84)&gt;0,"รายจ่าย","ไม่พบหมวดหมู่")))</f>
        <v/>
      </c>
      <c r="E84" s="12"/>
      <c r="F84" s="14"/>
      <c r="G84" s="14"/>
      <c r="H84" s="21" t="n">
        <f aca="false">IF(OR(E84="",D84&lt;&gt;"รายรับ"),0,E84)</f>
        <v>0</v>
      </c>
      <c r="I84" s="21" t="n">
        <f aca="false">IF(OR(E84="",D84&lt;&gt;"รายจ่าย"),0,E84)</f>
        <v>0</v>
      </c>
      <c r="J84" s="21" t="str">
        <f aca="false">IF(E84="","",ตั้งค่า!$B$4+SUM($H$5:H84)-SUM($I$5:I84))</f>
        <v/>
      </c>
      <c r="K84" s="22" t="str">
        <f aca="false">IF(A84="","",MONTH(A84))</f>
        <v/>
      </c>
      <c r="L84" s="22" t="str">
        <f aca="false">IF(A84="","",YEAR(A84))</f>
        <v/>
      </c>
    </row>
    <row r="85" customFormat="false" ht="15" hidden="false" customHeight="false" outlineLevel="0" collapsed="false">
      <c r="A85" s="19"/>
      <c r="B85" s="14"/>
      <c r="C85" s="14"/>
      <c r="D85" s="20" t="str">
        <f aca="false">IF(C85="","",IF(COUNTIF(ตั้งค่า!$A$7:$A$18,C85)&gt;0,"รายรับ",IF(COUNTIF(ตั้งค่า!$C$7:$C$31,C85)&gt;0,"รายจ่าย","ไม่พบหมวดหมู่")))</f>
        <v/>
      </c>
      <c r="E85" s="12"/>
      <c r="F85" s="14"/>
      <c r="G85" s="14"/>
      <c r="H85" s="21" t="n">
        <f aca="false">IF(OR(E85="",D85&lt;&gt;"รายรับ"),0,E85)</f>
        <v>0</v>
      </c>
      <c r="I85" s="21" t="n">
        <f aca="false">IF(OR(E85="",D85&lt;&gt;"รายจ่าย"),0,E85)</f>
        <v>0</v>
      </c>
      <c r="J85" s="21" t="str">
        <f aca="false">IF(E85="","",ตั้งค่า!$B$4+SUM($H$5:H85)-SUM($I$5:I85))</f>
        <v/>
      </c>
      <c r="K85" s="22" t="str">
        <f aca="false">IF(A85="","",MONTH(A85))</f>
        <v/>
      </c>
      <c r="L85" s="22" t="str">
        <f aca="false">IF(A85="","",YEAR(A85))</f>
        <v/>
      </c>
    </row>
    <row r="86" customFormat="false" ht="15" hidden="false" customHeight="false" outlineLevel="0" collapsed="false">
      <c r="A86" s="19"/>
      <c r="B86" s="14"/>
      <c r="C86" s="14"/>
      <c r="D86" s="20" t="str">
        <f aca="false">IF(C86="","",IF(COUNTIF(ตั้งค่า!$A$7:$A$18,C86)&gt;0,"รายรับ",IF(COUNTIF(ตั้งค่า!$C$7:$C$31,C86)&gt;0,"รายจ่าย","ไม่พบหมวดหมู่")))</f>
        <v/>
      </c>
      <c r="E86" s="12"/>
      <c r="F86" s="14"/>
      <c r="G86" s="14"/>
      <c r="H86" s="21" t="n">
        <f aca="false">IF(OR(E86="",D86&lt;&gt;"รายรับ"),0,E86)</f>
        <v>0</v>
      </c>
      <c r="I86" s="21" t="n">
        <f aca="false">IF(OR(E86="",D86&lt;&gt;"รายจ่าย"),0,E86)</f>
        <v>0</v>
      </c>
      <c r="J86" s="21" t="str">
        <f aca="false">IF(E86="","",ตั้งค่า!$B$4+SUM($H$5:H86)-SUM($I$5:I86))</f>
        <v/>
      </c>
      <c r="K86" s="22" t="str">
        <f aca="false">IF(A86="","",MONTH(A86))</f>
        <v/>
      </c>
      <c r="L86" s="22" t="str">
        <f aca="false">IF(A86="","",YEAR(A86))</f>
        <v/>
      </c>
    </row>
    <row r="87" customFormat="false" ht="15" hidden="false" customHeight="false" outlineLevel="0" collapsed="false">
      <c r="A87" s="19"/>
      <c r="B87" s="14"/>
      <c r="C87" s="14"/>
      <c r="D87" s="20" t="str">
        <f aca="false">IF(C87="","",IF(COUNTIF(ตั้งค่า!$A$7:$A$18,C87)&gt;0,"รายรับ",IF(COUNTIF(ตั้งค่า!$C$7:$C$31,C87)&gt;0,"รายจ่าย","ไม่พบหมวดหมู่")))</f>
        <v/>
      </c>
      <c r="E87" s="12"/>
      <c r="F87" s="14"/>
      <c r="G87" s="14"/>
      <c r="H87" s="21" t="n">
        <f aca="false">IF(OR(E87="",D87&lt;&gt;"รายรับ"),0,E87)</f>
        <v>0</v>
      </c>
      <c r="I87" s="21" t="n">
        <f aca="false">IF(OR(E87="",D87&lt;&gt;"รายจ่าย"),0,E87)</f>
        <v>0</v>
      </c>
      <c r="J87" s="21" t="str">
        <f aca="false">IF(E87="","",ตั้งค่า!$B$4+SUM($H$5:H87)-SUM($I$5:I87))</f>
        <v/>
      </c>
      <c r="K87" s="22" t="str">
        <f aca="false">IF(A87="","",MONTH(A87))</f>
        <v/>
      </c>
      <c r="L87" s="22" t="str">
        <f aca="false">IF(A87="","",YEAR(A87))</f>
        <v/>
      </c>
    </row>
    <row r="88" customFormat="false" ht="15" hidden="false" customHeight="false" outlineLevel="0" collapsed="false">
      <c r="A88" s="19"/>
      <c r="B88" s="14"/>
      <c r="C88" s="14"/>
      <c r="D88" s="20" t="str">
        <f aca="false">IF(C88="","",IF(COUNTIF(ตั้งค่า!$A$7:$A$18,C88)&gt;0,"รายรับ",IF(COUNTIF(ตั้งค่า!$C$7:$C$31,C88)&gt;0,"รายจ่าย","ไม่พบหมวดหมู่")))</f>
        <v/>
      </c>
      <c r="E88" s="12"/>
      <c r="F88" s="14"/>
      <c r="G88" s="14"/>
      <c r="H88" s="21" t="n">
        <f aca="false">IF(OR(E88="",D88&lt;&gt;"รายรับ"),0,E88)</f>
        <v>0</v>
      </c>
      <c r="I88" s="21" t="n">
        <f aca="false">IF(OR(E88="",D88&lt;&gt;"รายจ่าย"),0,E88)</f>
        <v>0</v>
      </c>
      <c r="J88" s="21" t="str">
        <f aca="false">IF(E88="","",ตั้งค่า!$B$4+SUM($H$5:H88)-SUM($I$5:I88))</f>
        <v/>
      </c>
      <c r="K88" s="22" t="str">
        <f aca="false">IF(A88="","",MONTH(A88))</f>
        <v/>
      </c>
      <c r="L88" s="22" t="str">
        <f aca="false">IF(A88="","",YEAR(A88))</f>
        <v/>
      </c>
    </row>
    <row r="89" customFormat="false" ht="15" hidden="false" customHeight="false" outlineLevel="0" collapsed="false">
      <c r="A89" s="19"/>
      <c r="B89" s="14"/>
      <c r="C89" s="14"/>
      <c r="D89" s="20" t="str">
        <f aca="false">IF(C89="","",IF(COUNTIF(ตั้งค่า!$A$7:$A$18,C89)&gt;0,"รายรับ",IF(COUNTIF(ตั้งค่า!$C$7:$C$31,C89)&gt;0,"รายจ่าย","ไม่พบหมวดหมู่")))</f>
        <v/>
      </c>
      <c r="E89" s="12"/>
      <c r="F89" s="14"/>
      <c r="G89" s="14"/>
      <c r="H89" s="21" t="n">
        <f aca="false">IF(OR(E89="",D89&lt;&gt;"รายรับ"),0,E89)</f>
        <v>0</v>
      </c>
      <c r="I89" s="21" t="n">
        <f aca="false">IF(OR(E89="",D89&lt;&gt;"รายจ่าย"),0,E89)</f>
        <v>0</v>
      </c>
      <c r="J89" s="21" t="str">
        <f aca="false">IF(E89="","",ตั้งค่า!$B$4+SUM($H$5:H89)-SUM($I$5:I89))</f>
        <v/>
      </c>
      <c r="K89" s="22" t="str">
        <f aca="false">IF(A89="","",MONTH(A89))</f>
        <v/>
      </c>
      <c r="L89" s="22" t="str">
        <f aca="false">IF(A89="","",YEAR(A89))</f>
        <v/>
      </c>
    </row>
    <row r="90" customFormat="false" ht="15" hidden="false" customHeight="false" outlineLevel="0" collapsed="false">
      <c r="A90" s="19"/>
      <c r="B90" s="14"/>
      <c r="C90" s="14"/>
      <c r="D90" s="20" t="str">
        <f aca="false">IF(C90="","",IF(COUNTIF(ตั้งค่า!$A$7:$A$18,C90)&gt;0,"รายรับ",IF(COUNTIF(ตั้งค่า!$C$7:$C$31,C90)&gt;0,"รายจ่าย","ไม่พบหมวดหมู่")))</f>
        <v/>
      </c>
      <c r="E90" s="12"/>
      <c r="F90" s="14"/>
      <c r="G90" s="14"/>
      <c r="H90" s="21" t="n">
        <f aca="false">IF(OR(E90="",D90&lt;&gt;"รายรับ"),0,E90)</f>
        <v>0</v>
      </c>
      <c r="I90" s="21" t="n">
        <f aca="false">IF(OR(E90="",D90&lt;&gt;"รายจ่าย"),0,E90)</f>
        <v>0</v>
      </c>
      <c r="J90" s="21" t="str">
        <f aca="false">IF(E90="","",ตั้งค่า!$B$4+SUM($H$5:H90)-SUM($I$5:I90))</f>
        <v/>
      </c>
      <c r="K90" s="22" t="str">
        <f aca="false">IF(A90="","",MONTH(A90))</f>
        <v/>
      </c>
      <c r="L90" s="22" t="str">
        <f aca="false">IF(A90="","",YEAR(A90))</f>
        <v/>
      </c>
    </row>
    <row r="91" customFormat="false" ht="15" hidden="false" customHeight="false" outlineLevel="0" collapsed="false">
      <c r="A91" s="19"/>
      <c r="B91" s="14"/>
      <c r="C91" s="14"/>
      <c r="D91" s="20" t="str">
        <f aca="false">IF(C91="","",IF(COUNTIF(ตั้งค่า!$A$7:$A$18,C91)&gt;0,"รายรับ",IF(COUNTIF(ตั้งค่า!$C$7:$C$31,C91)&gt;0,"รายจ่าย","ไม่พบหมวดหมู่")))</f>
        <v/>
      </c>
      <c r="E91" s="12"/>
      <c r="F91" s="14"/>
      <c r="G91" s="14"/>
      <c r="H91" s="21" t="n">
        <f aca="false">IF(OR(E91="",D91&lt;&gt;"รายรับ"),0,E91)</f>
        <v>0</v>
      </c>
      <c r="I91" s="21" t="n">
        <f aca="false">IF(OR(E91="",D91&lt;&gt;"รายจ่าย"),0,E91)</f>
        <v>0</v>
      </c>
      <c r="J91" s="21" t="str">
        <f aca="false">IF(E91="","",ตั้งค่า!$B$4+SUM($H$5:H91)-SUM($I$5:I91))</f>
        <v/>
      </c>
      <c r="K91" s="22" t="str">
        <f aca="false">IF(A91="","",MONTH(A91))</f>
        <v/>
      </c>
      <c r="L91" s="22" t="str">
        <f aca="false">IF(A91="","",YEAR(A91))</f>
        <v/>
      </c>
    </row>
    <row r="92" customFormat="false" ht="15" hidden="false" customHeight="false" outlineLevel="0" collapsed="false">
      <c r="A92" s="19"/>
      <c r="B92" s="14"/>
      <c r="C92" s="14"/>
      <c r="D92" s="20" t="str">
        <f aca="false">IF(C92="","",IF(COUNTIF(ตั้งค่า!$A$7:$A$18,C92)&gt;0,"รายรับ",IF(COUNTIF(ตั้งค่า!$C$7:$C$31,C92)&gt;0,"รายจ่าย","ไม่พบหมวดหมู่")))</f>
        <v/>
      </c>
      <c r="E92" s="12"/>
      <c r="F92" s="14"/>
      <c r="G92" s="14"/>
      <c r="H92" s="21" t="n">
        <f aca="false">IF(OR(E92="",D92&lt;&gt;"รายรับ"),0,E92)</f>
        <v>0</v>
      </c>
      <c r="I92" s="21" t="n">
        <f aca="false">IF(OR(E92="",D92&lt;&gt;"รายจ่าย"),0,E92)</f>
        <v>0</v>
      </c>
      <c r="J92" s="21" t="str">
        <f aca="false">IF(E92="","",ตั้งค่า!$B$4+SUM($H$5:H92)-SUM($I$5:I92))</f>
        <v/>
      </c>
      <c r="K92" s="22" t="str">
        <f aca="false">IF(A92="","",MONTH(A92))</f>
        <v/>
      </c>
      <c r="L92" s="22" t="str">
        <f aca="false">IF(A92="","",YEAR(A92))</f>
        <v/>
      </c>
    </row>
    <row r="93" customFormat="false" ht="15" hidden="false" customHeight="false" outlineLevel="0" collapsed="false">
      <c r="A93" s="19"/>
      <c r="B93" s="14"/>
      <c r="C93" s="14"/>
      <c r="D93" s="20" t="str">
        <f aca="false">IF(C93="","",IF(COUNTIF(ตั้งค่า!$A$7:$A$18,C93)&gt;0,"รายรับ",IF(COUNTIF(ตั้งค่า!$C$7:$C$31,C93)&gt;0,"รายจ่าย","ไม่พบหมวดหมู่")))</f>
        <v/>
      </c>
      <c r="E93" s="12"/>
      <c r="F93" s="14"/>
      <c r="G93" s="14"/>
      <c r="H93" s="21" t="n">
        <f aca="false">IF(OR(E93="",D93&lt;&gt;"รายรับ"),0,E93)</f>
        <v>0</v>
      </c>
      <c r="I93" s="21" t="n">
        <f aca="false">IF(OR(E93="",D93&lt;&gt;"รายจ่าย"),0,E93)</f>
        <v>0</v>
      </c>
      <c r="J93" s="21" t="str">
        <f aca="false">IF(E93="","",ตั้งค่า!$B$4+SUM($H$5:H93)-SUM($I$5:I93))</f>
        <v/>
      </c>
      <c r="K93" s="22" t="str">
        <f aca="false">IF(A93="","",MONTH(A93))</f>
        <v/>
      </c>
      <c r="L93" s="22" t="str">
        <f aca="false">IF(A93="","",YEAR(A93))</f>
        <v/>
      </c>
    </row>
    <row r="94" customFormat="false" ht="15" hidden="false" customHeight="false" outlineLevel="0" collapsed="false">
      <c r="A94" s="19"/>
      <c r="B94" s="14"/>
      <c r="C94" s="14"/>
      <c r="D94" s="20" t="str">
        <f aca="false">IF(C94="","",IF(COUNTIF(ตั้งค่า!$A$7:$A$18,C94)&gt;0,"รายรับ",IF(COUNTIF(ตั้งค่า!$C$7:$C$31,C94)&gt;0,"รายจ่าย","ไม่พบหมวดหมู่")))</f>
        <v/>
      </c>
      <c r="E94" s="12"/>
      <c r="F94" s="14"/>
      <c r="G94" s="14"/>
      <c r="H94" s="21" t="n">
        <f aca="false">IF(OR(E94="",D94&lt;&gt;"รายรับ"),0,E94)</f>
        <v>0</v>
      </c>
      <c r="I94" s="21" t="n">
        <f aca="false">IF(OR(E94="",D94&lt;&gt;"รายจ่าย"),0,E94)</f>
        <v>0</v>
      </c>
      <c r="J94" s="21" t="str">
        <f aca="false">IF(E94="","",ตั้งค่า!$B$4+SUM($H$5:H94)-SUM($I$5:I94))</f>
        <v/>
      </c>
      <c r="K94" s="22" t="str">
        <f aca="false">IF(A94="","",MONTH(A94))</f>
        <v/>
      </c>
      <c r="L94" s="22" t="str">
        <f aca="false">IF(A94="","",YEAR(A94))</f>
        <v/>
      </c>
    </row>
    <row r="95" customFormat="false" ht="15" hidden="false" customHeight="false" outlineLevel="0" collapsed="false">
      <c r="A95" s="19"/>
      <c r="B95" s="14"/>
      <c r="C95" s="14"/>
      <c r="D95" s="20" t="str">
        <f aca="false">IF(C95="","",IF(COUNTIF(ตั้งค่า!$A$7:$A$18,C95)&gt;0,"รายรับ",IF(COUNTIF(ตั้งค่า!$C$7:$C$31,C95)&gt;0,"รายจ่าย","ไม่พบหมวดหมู่")))</f>
        <v/>
      </c>
      <c r="E95" s="12"/>
      <c r="F95" s="14"/>
      <c r="G95" s="14"/>
      <c r="H95" s="21" t="n">
        <f aca="false">IF(OR(E95="",D95&lt;&gt;"รายรับ"),0,E95)</f>
        <v>0</v>
      </c>
      <c r="I95" s="21" t="n">
        <f aca="false">IF(OR(E95="",D95&lt;&gt;"รายจ่าย"),0,E95)</f>
        <v>0</v>
      </c>
      <c r="J95" s="21" t="str">
        <f aca="false">IF(E95="","",ตั้งค่า!$B$4+SUM($H$5:H95)-SUM($I$5:I95))</f>
        <v/>
      </c>
      <c r="K95" s="22" t="str">
        <f aca="false">IF(A95="","",MONTH(A95))</f>
        <v/>
      </c>
      <c r="L95" s="22" t="str">
        <f aca="false">IF(A95="","",YEAR(A95))</f>
        <v/>
      </c>
    </row>
    <row r="96" customFormat="false" ht="15" hidden="false" customHeight="false" outlineLevel="0" collapsed="false">
      <c r="A96" s="19"/>
      <c r="B96" s="14"/>
      <c r="C96" s="14"/>
      <c r="D96" s="20" t="str">
        <f aca="false">IF(C96="","",IF(COUNTIF(ตั้งค่า!$A$7:$A$18,C96)&gt;0,"รายรับ",IF(COUNTIF(ตั้งค่า!$C$7:$C$31,C96)&gt;0,"รายจ่าย","ไม่พบหมวดหมู่")))</f>
        <v/>
      </c>
      <c r="E96" s="12"/>
      <c r="F96" s="14"/>
      <c r="G96" s="14"/>
      <c r="H96" s="21" t="n">
        <f aca="false">IF(OR(E96="",D96&lt;&gt;"รายรับ"),0,E96)</f>
        <v>0</v>
      </c>
      <c r="I96" s="21" t="n">
        <f aca="false">IF(OR(E96="",D96&lt;&gt;"รายจ่าย"),0,E96)</f>
        <v>0</v>
      </c>
      <c r="J96" s="21" t="str">
        <f aca="false">IF(E96="","",ตั้งค่า!$B$4+SUM($H$5:H96)-SUM($I$5:I96))</f>
        <v/>
      </c>
      <c r="K96" s="22" t="str">
        <f aca="false">IF(A96="","",MONTH(A96))</f>
        <v/>
      </c>
      <c r="L96" s="22" t="str">
        <f aca="false">IF(A96="","",YEAR(A96))</f>
        <v/>
      </c>
    </row>
    <row r="97" customFormat="false" ht="15" hidden="false" customHeight="false" outlineLevel="0" collapsed="false">
      <c r="A97" s="19"/>
      <c r="B97" s="14"/>
      <c r="C97" s="14"/>
      <c r="D97" s="20" t="str">
        <f aca="false">IF(C97="","",IF(COUNTIF(ตั้งค่า!$A$7:$A$18,C97)&gt;0,"รายรับ",IF(COUNTIF(ตั้งค่า!$C$7:$C$31,C97)&gt;0,"รายจ่าย","ไม่พบหมวดหมู่")))</f>
        <v/>
      </c>
      <c r="E97" s="12"/>
      <c r="F97" s="14"/>
      <c r="G97" s="14"/>
      <c r="H97" s="21" t="n">
        <f aca="false">IF(OR(E97="",D97&lt;&gt;"รายรับ"),0,E97)</f>
        <v>0</v>
      </c>
      <c r="I97" s="21" t="n">
        <f aca="false">IF(OR(E97="",D97&lt;&gt;"รายจ่าย"),0,E97)</f>
        <v>0</v>
      </c>
      <c r="J97" s="21" t="str">
        <f aca="false">IF(E97="","",ตั้งค่า!$B$4+SUM($H$5:H97)-SUM($I$5:I97))</f>
        <v/>
      </c>
      <c r="K97" s="22" t="str">
        <f aca="false">IF(A97="","",MONTH(A97))</f>
        <v/>
      </c>
      <c r="L97" s="22" t="str">
        <f aca="false">IF(A97="","",YEAR(A97))</f>
        <v/>
      </c>
    </row>
    <row r="98" customFormat="false" ht="15" hidden="false" customHeight="false" outlineLevel="0" collapsed="false">
      <c r="A98" s="19"/>
      <c r="B98" s="14"/>
      <c r="C98" s="14"/>
      <c r="D98" s="20" t="str">
        <f aca="false">IF(C98="","",IF(COUNTIF(ตั้งค่า!$A$7:$A$18,C98)&gt;0,"รายรับ",IF(COUNTIF(ตั้งค่า!$C$7:$C$31,C98)&gt;0,"รายจ่าย","ไม่พบหมวดหมู่")))</f>
        <v/>
      </c>
      <c r="E98" s="12"/>
      <c r="F98" s="14"/>
      <c r="G98" s="14"/>
      <c r="H98" s="21" t="n">
        <f aca="false">IF(OR(E98="",D98&lt;&gt;"รายรับ"),0,E98)</f>
        <v>0</v>
      </c>
      <c r="I98" s="21" t="n">
        <f aca="false">IF(OR(E98="",D98&lt;&gt;"รายจ่าย"),0,E98)</f>
        <v>0</v>
      </c>
      <c r="J98" s="21" t="str">
        <f aca="false">IF(E98="","",ตั้งค่า!$B$4+SUM($H$5:H98)-SUM($I$5:I98))</f>
        <v/>
      </c>
      <c r="K98" s="22" t="str">
        <f aca="false">IF(A98="","",MONTH(A98))</f>
        <v/>
      </c>
      <c r="L98" s="22" t="str">
        <f aca="false">IF(A98="","",YEAR(A98))</f>
        <v/>
      </c>
    </row>
    <row r="99" customFormat="false" ht="15" hidden="false" customHeight="false" outlineLevel="0" collapsed="false">
      <c r="A99" s="19"/>
      <c r="B99" s="14"/>
      <c r="C99" s="14"/>
      <c r="D99" s="20" t="str">
        <f aca="false">IF(C99="","",IF(COUNTIF(ตั้งค่า!$A$7:$A$18,C99)&gt;0,"รายรับ",IF(COUNTIF(ตั้งค่า!$C$7:$C$31,C99)&gt;0,"รายจ่าย","ไม่พบหมวดหมู่")))</f>
        <v/>
      </c>
      <c r="E99" s="12"/>
      <c r="F99" s="14"/>
      <c r="G99" s="14"/>
      <c r="H99" s="21" t="n">
        <f aca="false">IF(OR(E99="",D99&lt;&gt;"รายรับ"),0,E99)</f>
        <v>0</v>
      </c>
      <c r="I99" s="21" t="n">
        <f aca="false">IF(OR(E99="",D99&lt;&gt;"รายจ่าย"),0,E99)</f>
        <v>0</v>
      </c>
      <c r="J99" s="21" t="str">
        <f aca="false">IF(E99="","",ตั้งค่า!$B$4+SUM($H$5:H99)-SUM($I$5:I99))</f>
        <v/>
      </c>
      <c r="K99" s="22" t="str">
        <f aca="false">IF(A99="","",MONTH(A99))</f>
        <v/>
      </c>
      <c r="L99" s="22" t="str">
        <f aca="false">IF(A99="","",YEAR(A99))</f>
        <v/>
      </c>
    </row>
    <row r="100" customFormat="false" ht="15" hidden="false" customHeight="false" outlineLevel="0" collapsed="false">
      <c r="A100" s="19"/>
      <c r="B100" s="14"/>
      <c r="C100" s="14"/>
      <c r="D100" s="20" t="str">
        <f aca="false">IF(C100="","",IF(COUNTIF(ตั้งค่า!$A$7:$A$18,C100)&gt;0,"รายรับ",IF(COUNTIF(ตั้งค่า!$C$7:$C$31,C100)&gt;0,"รายจ่าย","ไม่พบหมวดหมู่")))</f>
        <v/>
      </c>
      <c r="E100" s="12"/>
      <c r="F100" s="14"/>
      <c r="G100" s="14"/>
      <c r="H100" s="21" t="n">
        <f aca="false">IF(OR(E100="",D100&lt;&gt;"รายรับ"),0,E100)</f>
        <v>0</v>
      </c>
      <c r="I100" s="21" t="n">
        <f aca="false">IF(OR(E100="",D100&lt;&gt;"รายจ่าย"),0,E100)</f>
        <v>0</v>
      </c>
      <c r="J100" s="21" t="str">
        <f aca="false">IF(E100="","",ตั้งค่า!$B$4+SUM($H$5:H100)-SUM($I$5:I100))</f>
        <v/>
      </c>
      <c r="K100" s="22" t="str">
        <f aca="false">IF(A100="","",MONTH(A100))</f>
        <v/>
      </c>
      <c r="L100" s="22" t="str">
        <f aca="false">IF(A100="","",YEAR(A100))</f>
        <v/>
      </c>
    </row>
    <row r="101" customFormat="false" ht="15" hidden="false" customHeight="false" outlineLevel="0" collapsed="false">
      <c r="A101" s="19"/>
      <c r="B101" s="14"/>
      <c r="C101" s="14"/>
      <c r="D101" s="20" t="str">
        <f aca="false">IF(C101="","",IF(COUNTIF(ตั้งค่า!$A$7:$A$18,C101)&gt;0,"รายรับ",IF(COUNTIF(ตั้งค่า!$C$7:$C$31,C101)&gt;0,"รายจ่าย","ไม่พบหมวดหมู่")))</f>
        <v/>
      </c>
      <c r="E101" s="12"/>
      <c r="F101" s="14"/>
      <c r="G101" s="14"/>
      <c r="H101" s="21" t="n">
        <f aca="false">IF(OR(E101="",D101&lt;&gt;"รายรับ"),0,E101)</f>
        <v>0</v>
      </c>
      <c r="I101" s="21" t="n">
        <f aca="false">IF(OR(E101="",D101&lt;&gt;"รายจ่าย"),0,E101)</f>
        <v>0</v>
      </c>
      <c r="J101" s="21" t="str">
        <f aca="false">IF(E101="","",ตั้งค่า!$B$4+SUM($H$5:H101)-SUM($I$5:I101))</f>
        <v/>
      </c>
      <c r="K101" s="22" t="str">
        <f aca="false">IF(A101="","",MONTH(A101))</f>
        <v/>
      </c>
      <c r="L101" s="22" t="str">
        <f aca="false">IF(A101="","",YEAR(A101))</f>
        <v/>
      </c>
    </row>
    <row r="102" customFormat="false" ht="15" hidden="false" customHeight="false" outlineLevel="0" collapsed="false">
      <c r="A102" s="19"/>
      <c r="B102" s="14"/>
      <c r="C102" s="14"/>
      <c r="D102" s="20" t="str">
        <f aca="false">IF(C102="","",IF(COUNTIF(ตั้งค่า!$A$7:$A$18,C102)&gt;0,"รายรับ",IF(COUNTIF(ตั้งค่า!$C$7:$C$31,C102)&gt;0,"รายจ่าย","ไม่พบหมวดหมู่")))</f>
        <v/>
      </c>
      <c r="E102" s="12"/>
      <c r="F102" s="14"/>
      <c r="G102" s="14"/>
      <c r="H102" s="21" t="n">
        <f aca="false">IF(OR(E102="",D102&lt;&gt;"รายรับ"),0,E102)</f>
        <v>0</v>
      </c>
      <c r="I102" s="21" t="n">
        <f aca="false">IF(OR(E102="",D102&lt;&gt;"รายจ่าย"),0,E102)</f>
        <v>0</v>
      </c>
      <c r="J102" s="21" t="str">
        <f aca="false">IF(E102="","",ตั้งค่า!$B$4+SUM($H$5:H102)-SUM($I$5:I102))</f>
        <v/>
      </c>
      <c r="K102" s="22" t="str">
        <f aca="false">IF(A102="","",MONTH(A102))</f>
        <v/>
      </c>
      <c r="L102" s="22" t="str">
        <f aca="false">IF(A102="","",YEAR(A102))</f>
        <v/>
      </c>
    </row>
    <row r="103" customFormat="false" ht="15" hidden="false" customHeight="false" outlineLevel="0" collapsed="false">
      <c r="A103" s="19"/>
      <c r="B103" s="14"/>
      <c r="C103" s="14"/>
      <c r="D103" s="20" t="str">
        <f aca="false">IF(C103="","",IF(COUNTIF(ตั้งค่า!$A$7:$A$18,C103)&gt;0,"รายรับ",IF(COUNTIF(ตั้งค่า!$C$7:$C$31,C103)&gt;0,"รายจ่าย","ไม่พบหมวดหมู่")))</f>
        <v/>
      </c>
      <c r="E103" s="12"/>
      <c r="F103" s="14"/>
      <c r="G103" s="14"/>
      <c r="H103" s="21" t="n">
        <f aca="false">IF(OR(E103="",D103&lt;&gt;"รายรับ"),0,E103)</f>
        <v>0</v>
      </c>
      <c r="I103" s="21" t="n">
        <f aca="false">IF(OR(E103="",D103&lt;&gt;"รายจ่าย"),0,E103)</f>
        <v>0</v>
      </c>
      <c r="J103" s="21" t="str">
        <f aca="false">IF(E103="","",ตั้งค่า!$B$4+SUM($H$5:H103)-SUM($I$5:I103))</f>
        <v/>
      </c>
      <c r="K103" s="22" t="str">
        <f aca="false">IF(A103="","",MONTH(A103))</f>
        <v/>
      </c>
      <c r="L103" s="22" t="str">
        <f aca="false">IF(A103="","",YEAR(A103))</f>
        <v/>
      </c>
    </row>
    <row r="104" customFormat="false" ht="15" hidden="false" customHeight="false" outlineLevel="0" collapsed="false">
      <c r="A104" s="19"/>
      <c r="B104" s="14"/>
      <c r="C104" s="14"/>
      <c r="D104" s="20" t="str">
        <f aca="false">IF(C104="","",IF(COUNTIF(ตั้งค่า!$A$7:$A$18,C104)&gt;0,"รายรับ",IF(COUNTIF(ตั้งค่า!$C$7:$C$31,C104)&gt;0,"รายจ่าย","ไม่พบหมวดหมู่")))</f>
        <v/>
      </c>
      <c r="E104" s="12"/>
      <c r="F104" s="14"/>
      <c r="G104" s="14"/>
      <c r="H104" s="21" t="n">
        <f aca="false">IF(OR(E104="",D104&lt;&gt;"รายรับ"),0,E104)</f>
        <v>0</v>
      </c>
      <c r="I104" s="21" t="n">
        <f aca="false">IF(OR(E104="",D104&lt;&gt;"รายจ่าย"),0,E104)</f>
        <v>0</v>
      </c>
      <c r="J104" s="21" t="str">
        <f aca="false">IF(E104="","",ตั้งค่า!$B$4+SUM($H$5:H104)-SUM($I$5:I104))</f>
        <v/>
      </c>
      <c r="K104" s="22" t="str">
        <f aca="false">IF(A104="","",MONTH(A104))</f>
        <v/>
      </c>
      <c r="L104" s="22" t="str">
        <f aca="false">IF(A104="","",YEAR(A104))</f>
        <v/>
      </c>
    </row>
    <row r="105" customFormat="false" ht="15" hidden="false" customHeight="false" outlineLevel="0" collapsed="false">
      <c r="A105" s="19"/>
      <c r="B105" s="14"/>
      <c r="C105" s="14"/>
      <c r="D105" s="20" t="str">
        <f aca="false">IF(C105="","",IF(COUNTIF(ตั้งค่า!$A$7:$A$18,C105)&gt;0,"รายรับ",IF(COUNTIF(ตั้งค่า!$C$7:$C$31,C105)&gt;0,"รายจ่าย","ไม่พบหมวดหมู่")))</f>
        <v/>
      </c>
      <c r="E105" s="12"/>
      <c r="F105" s="14"/>
      <c r="G105" s="14"/>
      <c r="H105" s="21" t="n">
        <f aca="false">IF(OR(E105="",D105&lt;&gt;"รายรับ"),0,E105)</f>
        <v>0</v>
      </c>
      <c r="I105" s="21" t="n">
        <f aca="false">IF(OR(E105="",D105&lt;&gt;"รายจ่าย"),0,E105)</f>
        <v>0</v>
      </c>
      <c r="J105" s="21" t="str">
        <f aca="false">IF(E105="","",ตั้งค่า!$B$4+SUM($H$5:H105)-SUM($I$5:I105))</f>
        <v/>
      </c>
      <c r="K105" s="22" t="str">
        <f aca="false">IF(A105="","",MONTH(A105))</f>
        <v/>
      </c>
      <c r="L105" s="22" t="str">
        <f aca="false">IF(A105="","",YEAR(A105))</f>
        <v/>
      </c>
    </row>
    <row r="106" customFormat="false" ht="15" hidden="false" customHeight="false" outlineLevel="0" collapsed="false">
      <c r="A106" s="19"/>
      <c r="B106" s="14"/>
      <c r="C106" s="14"/>
      <c r="D106" s="20" t="str">
        <f aca="false">IF(C106="","",IF(COUNTIF(ตั้งค่า!$A$7:$A$18,C106)&gt;0,"รายรับ",IF(COUNTIF(ตั้งค่า!$C$7:$C$31,C106)&gt;0,"รายจ่าย","ไม่พบหมวดหมู่")))</f>
        <v/>
      </c>
      <c r="E106" s="12"/>
      <c r="F106" s="14"/>
      <c r="G106" s="14"/>
      <c r="H106" s="21" t="n">
        <f aca="false">IF(OR(E106="",D106&lt;&gt;"รายรับ"),0,E106)</f>
        <v>0</v>
      </c>
      <c r="I106" s="21" t="n">
        <f aca="false">IF(OR(E106="",D106&lt;&gt;"รายจ่าย"),0,E106)</f>
        <v>0</v>
      </c>
      <c r="J106" s="21" t="str">
        <f aca="false">IF(E106="","",ตั้งค่า!$B$4+SUM($H$5:H106)-SUM($I$5:I106))</f>
        <v/>
      </c>
      <c r="K106" s="22" t="str">
        <f aca="false">IF(A106="","",MONTH(A106))</f>
        <v/>
      </c>
      <c r="L106" s="22" t="str">
        <f aca="false">IF(A106="","",YEAR(A106))</f>
        <v/>
      </c>
    </row>
    <row r="107" customFormat="false" ht="15" hidden="false" customHeight="false" outlineLevel="0" collapsed="false">
      <c r="A107" s="19"/>
      <c r="B107" s="14"/>
      <c r="C107" s="14"/>
      <c r="D107" s="20" t="str">
        <f aca="false">IF(C107="","",IF(COUNTIF(ตั้งค่า!$A$7:$A$18,C107)&gt;0,"รายรับ",IF(COUNTIF(ตั้งค่า!$C$7:$C$31,C107)&gt;0,"รายจ่าย","ไม่พบหมวดหมู่")))</f>
        <v/>
      </c>
      <c r="E107" s="12"/>
      <c r="F107" s="14"/>
      <c r="G107" s="14"/>
      <c r="H107" s="21" t="n">
        <f aca="false">IF(OR(E107="",D107&lt;&gt;"รายรับ"),0,E107)</f>
        <v>0</v>
      </c>
      <c r="I107" s="21" t="n">
        <f aca="false">IF(OR(E107="",D107&lt;&gt;"รายจ่าย"),0,E107)</f>
        <v>0</v>
      </c>
      <c r="J107" s="21" t="str">
        <f aca="false">IF(E107="","",ตั้งค่า!$B$4+SUM($H$5:H107)-SUM($I$5:I107))</f>
        <v/>
      </c>
      <c r="K107" s="22" t="str">
        <f aca="false">IF(A107="","",MONTH(A107))</f>
        <v/>
      </c>
      <c r="L107" s="22" t="str">
        <f aca="false">IF(A107="","",YEAR(A107))</f>
        <v/>
      </c>
    </row>
    <row r="108" customFormat="false" ht="15" hidden="false" customHeight="false" outlineLevel="0" collapsed="false">
      <c r="A108" s="19"/>
      <c r="B108" s="14"/>
      <c r="C108" s="14"/>
      <c r="D108" s="20" t="str">
        <f aca="false">IF(C108="","",IF(COUNTIF(ตั้งค่า!$A$7:$A$18,C108)&gt;0,"รายรับ",IF(COUNTIF(ตั้งค่า!$C$7:$C$31,C108)&gt;0,"รายจ่าย","ไม่พบหมวดหมู่")))</f>
        <v/>
      </c>
      <c r="E108" s="12"/>
      <c r="F108" s="14"/>
      <c r="G108" s="14"/>
      <c r="H108" s="21" t="n">
        <f aca="false">IF(OR(E108="",D108&lt;&gt;"รายรับ"),0,E108)</f>
        <v>0</v>
      </c>
      <c r="I108" s="21" t="n">
        <f aca="false">IF(OR(E108="",D108&lt;&gt;"รายจ่าย"),0,E108)</f>
        <v>0</v>
      </c>
      <c r="J108" s="21" t="str">
        <f aca="false">IF(E108="","",ตั้งค่า!$B$4+SUM($H$5:H108)-SUM($I$5:I108))</f>
        <v/>
      </c>
      <c r="K108" s="22" t="str">
        <f aca="false">IF(A108="","",MONTH(A108))</f>
        <v/>
      </c>
      <c r="L108" s="22" t="str">
        <f aca="false">IF(A108="","",YEAR(A108))</f>
        <v/>
      </c>
    </row>
    <row r="109" customFormat="false" ht="15" hidden="false" customHeight="false" outlineLevel="0" collapsed="false">
      <c r="A109" s="19"/>
      <c r="B109" s="14"/>
      <c r="C109" s="14"/>
      <c r="D109" s="20" t="str">
        <f aca="false">IF(C109="","",IF(COUNTIF(ตั้งค่า!$A$7:$A$18,C109)&gt;0,"รายรับ",IF(COUNTIF(ตั้งค่า!$C$7:$C$31,C109)&gt;0,"รายจ่าย","ไม่พบหมวดหมู่")))</f>
        <v/>
      </c>
      <c r="E109" s="12"/>
      <c r="F109" s="14"/>
      <c r="G109" s="14"/>
      <c r="H109" s="21" t="n">
        <f aca="false">IF(OR(E109="",D109&lt;&gt;"รายรับ"),0,E109)</f>
        <v>0</v>
      </c>
      <c r="I109" s="21" t="n">
        <f aca="false">IF(OR(E109="",D109&lt;&gt;"รายจ่าย"),0,E109)</f>
        <v>0</v>
      </c>
      <c r="J109" s="21" t="str">
        <f aca="false">IF(E109="","",ตั้งค่า!$B$4+SUM($H$5:H109)-SUM($I$5:I109))</f>
        <v/>
      </c>
      <c r="K109" s="22" t="str">
        <f aca="false">IF(A109="","",MONTH(A109))</f>
        <v/>
      </c>
      <c r="L109" s="22" t="str">
        <f aca="false">IF(A109="","",YEAR(A109))</f>
        <v/>
      </c>
    </row>
    <row r="110" customFormat="false" ht="15" hidden="false" customHeight="false" outlineLevel="0" collapsed="false">
      <c r="A110" s="19"/>
      <c r="B110" s="14"/>
      <c r="C110" s="14"/>
      <c r="D110" s="20" t="str">
        <f aca="false">IF(C110="","",IF(COUNTIF(ตั้งค่า!$A$7:$A$18,C110)&gt;0,"รายรับ",IF(COUNTIF(ตั้งค่า!$C$7:$C$31,C110)&gt;0,"รายจ่าย","ไม่พบหมวดหมู่")))</f>
        <v/>
      </c>
      <c r="E110" s="12"/>
      <c r="F110" s="14"/>
      <c r="G110" s="14"/>
      <c r="H110" s="21" t="n">
        <f aca="false">IF(OR(E110="",D110&lt;&gt;"รายรับ"),0,E110)</f>
        <v>0</v>
      </c>
      <c r="I110" s="21" t="n">
        <f aca="false">IF(OR(E110="",D110&lt;&gt;"รายจ่าย"),0,E110)</f>
        <v>0</v>
      </c>
      <c r="J110" s="21" t="str">
        <f aca="false">IF(E110="","",ตั้งค่า!$B$4+SUM($H$5:H110)-SUM($I$5:I110))</f>
        <v/>
      </c>
      <c r="K110" s="22" t="str">
        <f aca="false">IF(A110="","",MONTH(A110))</f>
        <v/>
      </c>
      <c r="L110" s="22" t="str">
        <f aca="false">IF(A110="","",YEAR(A110))</f>
        <v/>
      </c>
    </row>
    <row r="111" customFormat="false" ht="15" hidden="false" customHeight="false" outlineLevel="0" collapsed="false">
      <c r="A111" s="19"/>
      <c r="B111" s="14"/>
      <c r="C111" s="14"/>
      <c r="D111" s="20" t="str">
        <f aca="false">IF(C111="","",IF(COUNTIF(ตั้งค่า!$A$7:$A$18,C111)&gt;0,"รายรับ",IF(COUNTIF(ตั้งค่า!$C$7:$C$31,C111)&gt;0,"รายจ่าย","ไม่พบหมวดหมู่")))</f>
        <v/>
      </c>
      <c r="E111" s="12"/>
      <c r="F111" s="14"/>
      <c r="G111" s="14"/>
      <c r="H111" s="21" t="n">
        <f aca="false">IF(OR(E111="",D111&lt;&gt;"รายรับ"),0,E111)</f>
        <v>0</v>
      </c>
      <c r="I111" s="21" t="n">
        <f aca="false">IF(OR(E111="",D111&lt;&gt;"รายจ่าย"),0,E111)</f>
        <v>0</v>
      </c>
      <c r="J111" s="21" t="str">
        <f aca="false">IF(E111="","",ตั้งค่า!$B$4+SUM($H$5:H111)-SUM($I$5:I111))</f>
        <v/>
      </c>
      <c r="K111" s="22" t="str">
        <f aca="false">IF(A111="","",MONTH(A111))</f>
        <v/>
      </c>
      <c r="L111" s="22" t="str">
        <f aca="false">IF(A111="","",YEAR(A111))</f>
        <v/>
      </c>
    </row>
    <row r="112" customFormat="false" ht="15" hidden="false" customHeight="false" outlineLevel="0" collapsed="false">
      <c r="A112" s="19"/>
      <c r="B112" s="14"/>
      <c r="C112" s="14"/>
      <c r="D112" s="20" t="str">
        <f aca="false">IF(C112="","",IF(COUNTIF(ตั้งค่า!$A$7:$A$18,C112)&gt;0,"รายรับ",IF(COUNTIF(ตั้งค่า!$C$7:$C$31,C112)&gt;0,"รายจ่าย","ไม่พบหมวดหมู่")))</f>
        <v/>
      </c>
      <c r="E112" s="12"/>
      <c r="F112" s="14"/>
      <c r="G112" s="14"/>
      <c r="H112" s="21" t="n">
        <f aca="false">IF(OR(E112="",D112&lt;&gt;"รายรับ"),0,E112)</f>
        <v>0</v>
      </c>
      <c r="I112" s="21" t="n">
        <f aca="false">IF(OR(E112="",D112&lt;&gt;"รายจ่าย"),0,E112)</f>
        <v>0</v>
      </c>
      <c r="J112" s="21" t="str">
        <f aca="false">IF(E112="","",ตั้งค่า!$B$4+SUM($H$5:H112)-SUM($I$5:I112))</f>
        <v/>
      </c>
      <c r="K112" s="22" t="str">
        <f aca="false">IF(A112="","",MONTH(A112))</f>
        <v/>
      </c>
      <c r="L112" s="22" t="str">
        <f aca="false">IF(A112="","",YEAR(A112))</f>
        <v/>
      </c>
    </row>
    <row r="113" customFormat="false" ht="15" hidden="false" customHeight="false" outlineLevel="0" collapsed="false">
      <c r="A113" s="19"/>
      <c r="B113" s="14"/>
      <c r="C113" s="14"/>
      <c r="D113" s="20" t="str">
        <f aca="false">IF(C113="","",IF(COUNTIF(ตั้งค่า!$A$7:$A$18,C113)&gt;0,"รายรับ",IF(COUNTIF(ตั้งค่า!$C$7:$C$31,C113)&gt;0,"รายจ่าย","ไม่พบหมวดหมู่")))</f>
        <v/>
      </c>
      <c r="E113" s="12"/>
      <c r="F113" s="14"/>
      <c r="G113" s="14"/>
      <c r="H113" s="21" t="n">
        <f aca="false">IF(OR(E113="",D113&lt;&gt;"รายรับ"),0,E113)</f>
        <v>0</v>
      </c>
      <c r="I113" s="21" t="n">
        <f aca="false">IF(OR(E113="",D113&lt;&gt;"รายจ่าย"),0,E113)</f>
        <v>0</v>
      </c>
      <c r="J113" s="21" t="str">
        <f aca="false">IF(E113="","",ตั้งค่า!$B$4+SUM($H$5:H113)-SUM($I$5:I113))</f>
        <v/>
      </c>
      <c r="K113" s="22" t="str">
        <f aca="false">IF(A113="","",MONTH(A113))</f>
        <v/>
      </c>
      <c r="L113" s="22" t="str">
        <f aca="false">IF(A113="","",YEAR(A113))</f>
        <v/>
      </c>
    </row>
    <row r="114" customFormat="false" ht="15" hidden="false" customHeight="false" outlineLevel="0" collapsed="false">
      <c r="A114" s="19"/>
      <c r="B114" s="14"/>
      <c r="C114" s="14"/>
      <c r="D114" s="20" t="str">
        <f aca="false">IF(C114="","",IF(COUNTIF(ตั้งค่า!$A$7:$A$18,C114)&gt;0,"รายรับ",IF(COUNTIF(ตั้งค่า!$C$7:$C$31,C114)&gt;0,"รายจ่าย","ไม่พบหมวดหมู่")))</f>
        <v/>
      </c>
      <c r="E114" s="12"/>
      <c r="F114" s="14"/>
      <c r="G114" s="14"/>
      <c r="H114" s="21" t="n">
        <f aca="false">IF(OR(E114="",D114&lt;&gt;"รายรับ"),0,E114)</f>
        <v>0</v>
      </c>
      <c r="I114" s="21" t="n">
        <f aca="false">IF(OR(E114="",D114&lt;&gt;"รายจ่าย"),0,E114)</f>
        <v>0</v>
      </c>
      <c r="J114" s="21" t="str">
        <f aca="false">IF(E114="","",ตั้งค่า!$B$4+SUM($H$5:H114)-SUM($I$5:I114))</f>
        <v/>
      </c>
      <c r="K114" s="22" t="str">
        <f aca="false">IF(A114="","",MONTH(A114))</f>
        <v/>
      </c>
      <c r="L114" s="22" t="str">
        <f aca="false">IF(A114="","",YEAR(A114))</f>
        <v/>
      </c>
    </row>
    <row r="115" customFormat="false" ht="15" hidden="false" customHeight="false" outlineLevel="0" collapsed="false">
      <c r="A115" s="19"/>
      <c r="B115" s="14"/>
      <c r="C115" s="14"/>
      <c r="D115" s="20" t="str">
        <f aca="false">IF(C115="","",IF(COUNTIF(ตั้งค่า!$A$7:$A$18,C115)&gt;0,"รายรับ",IF(COUNTIF(ตั้งค่า!$C$7:$C$31,C115)&gt;0,"รายจ่าย","ไม่พบหมวดหมู่")))</f>
        <v/>
      </c>
      <c r="E115" s="12"/>
      <c r="F115" s="14"/>
      <c r="G115" s="14"/>
      <c r="H115" s="21" t="n">
        <f aca="false">IF(OR(E115="",D115&lt;&gt;"รายรับ"),0,E115)</f>
        <v>0</v>
      </c>
      <c r="I115" s="21" t="n">
        <f aca="false">IF(OR(E115="",D115&lt;&gt;"รายจ่าย"),0,E115)</f>
        <v>0</v>
      </c>
      <c r="J115" s="21" t="str">
        <f aca="false">IF(E115="","",ตั้งค่า!$B$4+SUM($H$5:H115)-SUM($I$5:I115))</f>
        <v/>
      </c>
      <c r="K115" s="22" t="str">
        <f aca="false">IF(A115="","",MONTH(A115))</f>
        <v/>
      </c>
      <c r="L115" s="22" t="str">
        <f aca="false">IF(A115="","",YEAR(A115))</f>
        <v/>
      </c>
    </row>
    <row r="116" customFormat="false" ht="15" hidden="false" customHeight="false" outlineLevel="0" collapsed="false">
      <c r="A116" s="19"/>
      <c r="B116" s="14"/>
      <c r="C116" s="14"/>
      <c r="D116" s="20" t="str">
        <f aca="false">IF(C116="","",IF(COUNTIF(ตั้งค่า!$A$7:$A$18,C116)&gt;0,"รายรับ",IF(COUNTIF(ตั้งค่า!$C$7:$C$31,C116)&gt;0,"รายจ่าย","ไม่พบหมวดหมู่")))</f>
        <v/>
      </c>
      <c r="E116" s="12"/>
      <c r="F116" s="14"/>
      <c r="G116" s="14"/>
      <c r="H116" s="21" t="n">
        <f aca="false">IF(OR(E116="",D116&lt;&gt;"รายรับ"),0,E116)</f>
        <v>0</v>
      </c>
      <c r="I116" s="21" t="n">
        <f aca="false">IF(OR(E116="",D116&lt;&gt;"รายจ่าย"),0,E116)</f>
        <v>0</v>
      </c>
      <c r="J116" s="21" t="str">
        <f aca="false">IF(E116="","",ตั้งค่า!$B$4+SUM($H$5:H116)-SUM($I$5:I116))</f>
        <v/>
      </c>
      <c r="K116" s="22" t="str">
        <f aca="false">IF(A116="","",MONTH(A116))</f>
        <v/>
      </c>
      <c r="L116" s="22" t="str">
        <f aca="false">IF(A116="","",YEAR(A116))</f>
        <v/>
      </c>
    </row>
    <row r="117" customFormat="false" ht="15" hidden="false" customHeight="false" outlineLevel="0" collapsed="false">
      <c r="A117" s="19"/>
      <c r="B117" s="14"/>
      <c r="C117" s="14"/>
      <c r="D117" s="20" t="str">
        <f aca="false">IF(C117="","",IF(COUNTIF(ตั้งค่า!$A$7:$A$18,C117)&gt;0,"รายรับ",IF(COUNTIF(ตั้งค่า!$C$7:$C$31,C117)&gt;0,"รายจ่าย","ไม่พบหมวดหมู่")))</f>
        <v/>
      </c>
      <c r="E117" s="12"/>
      <c r="F117" s="14"/>
      <c r="G117" s="14"/>
      <c r="H117" s="21" t="n">
        <f aca="false">IF(OR(E117="",D117&lt;&gt;"รายรับ"),0,E117)</f>
        <v>0</v>
      </c>
      <c r="I117" s="21" t="n">
        <f aca="false">IF(OR(E117="",D117&lt;&gt;"รายจ่าย"),0,E117)</f>
        <v>0</v>
      </c>
      <c r="J117" s="21" t="str">
        <f aca="false">IF(E117="","",ตั้งค่า!$B$4+SUM($H$5:H117)-SUM($I$5:I117))</f>
        <v/>
      </c>
      <c r="K117" s="22" t="str">
        <f aca="false">IF(A117="","",MONTH(A117))</f>
        <v/>
      </c>
      <c r="L117" s="22" t="str">
        <f aca="false">IF(A117="","",YEAR(A117))</f>
        <v/>
      </c>
    </row>
    <row r="118" customFormat="false" ht="15" hidden="false" customHeight="false" outlineLevel="0" collapsed="false">
      <c r="A118" s="19"/>
      <c r="B118" s="14"/>
      <c r="C118" s="14"/>
      <c r="D118" s="20" t="str">
        <f aca="false">IF(C118="","",IF(COUNTIF(ตั้งค่า!$A$7:$A$18,C118)&gt;0,"รายรับ",IF(COUNTIF(ตั้งค่า!$C$7:$C$31,C118)&gt;0,"รายจ่าย","ไม่พบหมวดหมู่")))</f>
        <v/>
      </c>
      <c r="E118" s="12"/>
      <c r="F118" s="14"/>
      <c r="G118" s="14"/>
      <c r="H118" s="21" t="n">
        <f aca="false">IF(OR(E118="",D118&lt;&gt;"รายรับ"),0,E118)</f>
        <v>0</v>
      </c>
      <c r="I118" s="21" t="n">
        <f aca="false">IF(OR(E118="",D118&lt;&gt;"รายจ่าย"),0,E118)</f>
        <v>0</v>
      </c>
      <c r="J118" s="21" t="str">
        <f aca="false">IF(E118="","",ตั้งค่า!$B$4+SUM($H$5:H118)-SUM($I$5:I118))</f>
        <v/>
      </c>
      <c r="K118" s="22" t="str">
        <f aca="false">IF(A118="","",MONTH(A118))</f>
        <v/>
      </c>
      <c r="L118" s="22" t="str">
        <f aca="false">IF(A118="","",YEAR(A118))</f>
        <v/>
      </c>
    </row>
    <row r="119" customFormat="false" ht="15" hidden="false" customHeight="false" outlineLevel="0" collapsed="false">
      <c r="A119" s="19"/>
      <c r="B119" s="14"/>
      <c r="C119" s="14"/>
      <c r="D119" s="20" t="str">
        <f aca="false">IF(C119="","",IF(COUNTIF(ตั้งค่า!$A$7:$A$18,C119)&gt;0,"รายรับ",IF(COUNTIF(ตั้งค่า!$C$7:$C$31,C119)&gt;0,"รายจ่าย","ไม่พบหมวดหมู่")))</f>
        <v/>
      </c>
      <c r="E119" s="12"/>
      <c r="F119" s="14"/>
      <c r="G119" s="14"/>
      <c r="H119" s="21" t="n">
        <f aca="false">IF(OR(E119="",D119&lt;&gt;"รายรับ"),0,E119)</f>
        <v>0</v>
      </c>
      <c r="I119" s="21" t="n">
        <f aca="false">IF(OR(E119="",D119&lt;&gt;"รายจ่าย"),0,E119)</f>
        <v>0</v>
      </c>
      <c r="J119" s="21" t="str">
        <f aca="false">IF(E119="","",ตั้งค่า!$B$4+SUM($H$5:H119)-SUM($I$5:I119))</f>
        <v/>
      </c>
      <c r="K119" s="22" t="str">
        <f aca="false">IF(A119="","",MONTH(A119))</f>
        <v/>
      </c>
      <c r="L119" s="22" t="str">
        <f aca="false">IF(A119="","",YEAR(A119))</f>
        <v/>
      </c>
    </row>
    <row r="120" customFormat="false" ht="15" hidden="false" customHeight="false" outlineLevel="0" collapsed="false">
      <c r="A120" s="19"/>
      <c r="B120" s="14"/>
      <c r="C120" s="14"/>
      <c r="D120" s="20" t="str">
        <f aca="false">IF(C120="","",IF(COUNTIF(ตั้งค่า!$A$7:$A$18,C120)&gt;0,"รายรับ",IF(COUNTIF(ตั้งค่า!$C$7:$C$31,C120)&gt;0,"รายจ่าย","ไม่พบหมวดหมู่")))</f>
        <v/>
      </c>
      <c r="E120" s="12"/>
      <c r="F120" s="14"/>
      <c r="G120" s="14"/>
      <c r="H120" s="21" t="n">
        <f aca="false">IF(OR(E120="",D120&lt;&gt;"รายรับ"),0,E120)</f>
        <v>0</v>
      </c>
      <c r="I120" s="21" t="n">
        <f aca="false">IF(OR(E120="",D120&lt;&gt;"รายจ่าย"),0,E120)</f>
        <v>0</v>
      </c>
      <c r="J120" s="21" t="str">
        <f aca="false">IF(E120="","",ตั้งค่า!$B$4+SUM($H$5:H120)-SUM($I$5:I120))</f>
        <v/>
      </c>
      <c r="K120" s="22" t="str">
        <f aca="false">IF(A120="","",MONTH(A120))</f>
        <v/>
      </c>
      <c r="L120" s="22" t="str">
        <f aca="false">IF(A120="","",YEAR(A120))</f>
        <v/>
      </c>
    </row>
    <row r="121" customFormat="false" ht="15" hidden="false" customHeight="false" outlineLevel="0" collapsed="false">
      <c r="A121" s="19"/>
      <c r="B121" s="14"/>
      <c r="C121" s="14"/>
      <c r="D121" s="20" t="str">
        <f aca="false">IF(C121="","",IF(COUNTIF(ตั้งค่า!$A$7:$A$18,C121)&gt;0,"รายรับ",IF(COUNTIF(ตั้งค่า!$C$7:$C$31,C121)&gt;0,"รายจ่าย","ไม่พบหมวดหมู่")))</f>
        <v/>
      </c>
      <c r="E121" s="12"/>
      <c r="F121" s="14"/>
      <c r="G121" s="14"/>
      <c r="H121" s="21" t="n">
        <f aca="false">IF(OR(E121="",D121&lt;&gt;"รายรับ"),0,E121)</f>
        <v>0</v>
      </c>
      <c r="I121" s="21" t="n">
        <f aca="false">IF(OR(E121="",D121&lt;&gt;"รายจ่าย"),0,E121)</f>
        <v>0</v>
      </c>
      <c r="J121" s="21" t="str">
        <f aca="false">IF(E121="","",ตั้งค่า!$B$4+SUM($H$5:H121)-SUM($I$5:I121))</f>
        <v/>
      </c>
      <c r="K121" s="22" t="str">
        <f aca="false">IF(A121="","",MONTH(A121))</f>
        <v/>
      </c>
      <c r="L121" s="22" t="str">
        <f aca="false">IF(A121="","",YEAR(A121))</f>
        <v/>
      </c>
    </row>
    <row r="122" customFormat="false" ht="15" hidden="false" customHeight="false" outlineLevel="0" collapsed="false">
      <c r="A122" s="19"/>
      <c r="B122" s="14"/>
      <c r="C122" s="14"/>
      <c r="D122" s="20" t="str">
        <f aca="false">IF(C122="","",IF(COUNTIF(ตั้งค่า!$A$7:$A$18,C122)&gt;0,"รายรับ",IF(COUNTIF(ตั้งค่า!$C$7:$C$31,C122)&gt;0,"รายจ่าย","ไม่พบหมวดหมู่")))</f>
        <v/>
      </c>
      <c r="E122" s="12"/>
      <c r="F122" s="14"/>
      <c r="G122" s="14"/>
      <c r="H122" s="21" t="n">
        <f aca="false">IF(OR(E122="",D122&lt;&gt;"รายรับ"),0,E122)</f>
        <v>0</v>
      </c>
      <c r="I122" s="21" t="n">
        <f aca="false">IF(OR(E122="",D122&lt;&gt;"รายจ่าย"),0,E122)</f>
        <v>0</v>
      </c>
      <c r="J122" s="21" t="str">
        <f aca="false">IF(E122="","",ตั้งค่า!$B$4+SUM($H$5:H122)-SUM($I$5:I122))</f>
        <v/>
      </c>
      <c r="K122" s="22" t="str">
        <f aca="false">IF(A122="","",MONTH(A122))</f>
        <v/>
      </c>
      <c r="L122" s="22" t="str">
        <f aca="false">IF(A122="","",YEAR(A122))</f>
        <v/>
      </c>
    </row>
    <row r="123" customFormat="false" ht="15" hidden="false" customHeight="false" outlineLevel="0" collapsed="false">
      <c r="A123" s="19"/>
      <c r="B123" s="14"/>
      <c r="C123" s="14"/>
      <c r="D123" s="20" t="str">
        <f aca="false">IF(C123="","",IF(COUNTIF(ตั้งค่า!$A$7:$A$18,C123)&gt;0,"รายรับ",IF(COUNTIF(ตั้งค่า!$C$7:$C$31,C123)&gt;0,"รายจ่าย","ไม่พบหมวดหมู่")))</f>
        <v/>
      </c>
      <c r="E123" s="12"/>
      <c r="F123" s="14"/>
      <c r="G123" s="14"/>
      <c r="H123" s="21" t="n">
        <f aca="false">IF(OR(E123="",D123&lt;&gt;"รายรับ"),0,E123)</f>
        <v>0</v>
      </c>
      <c r="I123" s="21" t="n">
        <f aca="false">IF(OR(E123="",D123&lt;&gt;"รายจ่าย"),0,E123)</f>
        <v>0</v>
      </c>
      <c r="J123" s="21" t="str">
        <f aca="false">IF(E123="","",ตั้งค่า!$B$4+SUM($H$5:H123)-SUM($I$5:I123))</f>
        <v/>
      </c>
      <c r="K123" s="22" t="str">
        <f aca="false">IF(A123="","",MONTH(A123))</f>
        <v/>
      </c>
      <c r="L123" s="22" t="str">
        <f aca="false">IF(A123="","",YEAR(A123))</f>
        <v/>
      </c>
    </row>
    <row r="124" customFormat="false" ht="15" hidden="false" customHeight="false" outlineLevel="0" collapsed="false">
      <c r="A124" s="19"/>
      <c r="B124" s="14"/>
      <c r="C124" s="14"/>
      <c r="D124" s="20" t="str">
        <f aca="false">IF(C124="","",IF(COUNTIF(ตั้งค่า!$A$7:$A$18,C124)&gt;0,"รายรับ",IF(COUNTIF(ตั้งค่า!$C$7:$C$31,C124)&gt;0,"รายจ่าย","ไม่พบหมวดหมู่")))</f>
        <v/>
      </c>
      <c r="E124" s="12"/>
      <c r="F124" s="14"/>
      <c r="G124" s="14"/>
      <c r="H124" s="21" t="n">
        <f aca="false">IF(OR(E124="",D124&lt;&gt;"รายรับ"),0,E124)</f>
        <v>0</v>
      </c>
      <c r="I124" s="21" t="n">
        <f aca="false">IF(OR(E124="",D124&lt;&gt;"รายจ่าย"),0,E124)</f>
        <v>0</v>
      </c>
      <c r="J124" s="21" t="str">
        <f aca="false">IF(E124="","",ตั้งค่า!$B$4+SUM($H$5:H124)-SUM($I$5:I124))</f>
        <v/>
      </c>
      <c r="K124" s="22" t="str">
        <f aca="false">IF(A124="","",MONTH(A124))</f>
        <v/>
      </c>
      <c r="L124" s="22" t="str">
        <f aca="false">IF(A124="","",YEAR(A124))</f>
        <v/>
      </c>
    </row>
    <row r="125" customFormat="false" ht="15" hidden="false" customHeight="false" outlineLevel="0" collapsed="false">
      <c r="A125" s="19"/>
      <c r="B125" s="14"/>
      <c r="C125" s="14"/>
      <c r="D125" s="20" t="str">
        <f aca="false">IF(C125="","",IF(COUNTIF(ตั้งค่า!$A$7:$A$18,C125)&gt;0,"รายรับ",IF(COUNTIF(ตั้งค่า!$C$7:$C$31,C125)&gt;0,"รายจ่าย","ไม่พบหมวดหมู่")))</f>
        <v/>
      </c>
      <c r="E125" s="12"/>
      <c r="F125" s="14"/>
      <c r="G125" s="14"/>
      <c r="H125" s="21" t="n">
        <f aca="false">IF(OR(E125="",D125&lt;&gt;"รายรับ"),0,E125)</f>
        <v>0</v>
      </c>
      <c r="I125" s="21" t="n">
        <f aca="false">IF(OR(E125="",D125&lt;&gt;"รายจ่าย"),0,E125)</f>
        <v>0</v>
      </c>
      <c r="J125" s="21" t="str">
        <f aca="false">IF(E125="","",ตั้งค่า!$B$4+SUM($H$5:H125)-SUM($I$5:I125))</f>
        <v/>
      </c>
      <c r="K125" s="22" t="str">
        <f aca="false">IF(A125="","",MONTH(A125))</f>
        <v/>
      </c>
      <c r="L125" s="22" t="str">
        <f aca="false">IF(A125="","",YEAR(A125))</f>
        <v/>
      </c>
    </row>
    <row r="126" customFormat="false" ht="15" hidden="false" customHeight="false" outlineLevel="0" collapsed="false">
      <c r="A126" s="19"/>
      <c r="B126" s="14"/>
      <c r="C126" s="14"/>
      <c r="D126" s="20" t="str">
        <f aca="false">IF(C126="","",IF(COUNTIF(ตั้งค่า!$A$7:$A$18,C126)&gt;0,"รายรับ",IF(COUNTIF(ตั้งค่า!$C$7:$C$31,C126)&gt;0,"รายจ่าย","ไม่พบหมวดหมู่")))</f>
        <v/>
      </c>
      <c r="E126" s="12"/>
      <c r="F126" s="14"/>
      <c r="G126" s="14"/>
      <c r="H126" s="21" t="n">
        <f aca="false">IF(OR(E126="",D126&lt;&gt;"รายรับ"),0,E126)</f>
        <v>0</v>
      </c>
      <c r="I126" s="21" t="n">
        <f aca="false">IF(OR(E126="",D126&lt;&gt;"รายจ่าย"),0,E126)</f>
        <v>0</v>
      </c>
      <c r="J126" s="21" t="str">
        <f aca="false">IF(E126="","",ตั้งค่า!$B$4+SUM($H$5:H126)-SUM($I$5:I126))</f>
        <v/>
      </c>
      <c r="K126" s="22" t="str">
        <f aca="false">IF(A126="","",MONTH(A126))</f>
        <v/>
      </c>
      <c r="L126" s="22" t="str">
        <f aca="false">IF(A126="","",YEAR(A126))</f>
        <v/>
      </c>
    </row>
    <row r="127" customFormat="false" ht="15" hidden="false" customHeight="false" outlineLevel="0" collapsed="false">
      <c r="A127" s="19"/>
      <c r="B127" s="14"/>
      <c r="C127" s="14"/>
      <c r="D127" s="20" t="str">
        <f aca="false">IF(C127="","",IF(COUNTIF(ตั้งค่า!$A$7:$A$18,C127)&gt;0,"รายรับ",IF(COUNTIF(ตั้งค่า!$C$7:$C$31,C127)&gt;0,"รายจ่าย","ไม่พบหมวดหมู่")))</f>
        <v/>
      </c>
      <c r="E127" s="12"/>
      <c r="F127" s="14"/>
      <c r="G127" s="14"/>
      <c r="H127" s="21" t="n">
        <f aca="false">IF(OR(E127="",D127&lt;&gt;"รายรับ"),0,E127)</f>
        <v>0</v>
      </c>
      <c r="I127" s="21" t="n">
        <f aca="false">IF(OR(E127="",D127&lt;&gt;"รายจ่าย"),0,E127)</f>
        <v>0</v>
      </c>
      <c r="J127" s="21" t="str">
        <f aca="false">IF(E127="","",ตั้งค่า!$B$4+SUM($H$5:H127)-SUM($I$5:I127))</f>
        <v/>
      </c>
      <c r="K127" s="22" t="str">
        <f aca="false">IF(A127="","",MONTH(A127))</f>
        <v/>
      </c>
      <c r="L127" s="22" t="str">
        <f aca="false">IF(A127="","",YEAR(A127))</f>
        <v/>
      </c>
    </row>
    <row r="128" customFormat="false" ht="15" hidden="false" customHeight="false" outlineLevel="0" collapsed="false">
      <c r="A128" s="19"/>
      <c r="B128" s="14"/>
      <c r="C128" s="14"/>
      <c r="D128" s="20" t="str">
        <f aca="false">IF(C128="","",IF(COUNTIF(ตั้งค่า!$A$7:$A$18,C128)&gt;0,"รายรับ",IF(COUNTIF(ตั้งค่า!$C$7:$C$31,C128)&gt;0,"รายจ่าย","ไม่พบหมวดหมู่")))</f>
        <v/>
      </c>
      <c r="E128" s="12"/>
      <c r="F128" s="14"/>
      <c r="G128" s="14"/>
      <c r="H128" s="21" t="n">
        <f aca="false">IF(OR(E128="",D128&lt;&gt;"รายรับ"),0,E128)</f>
        <v>0</v>
      </c>
      <c r="I128" s="21" t="n">
        <f aca="false">IF(OR(E128="",D128&lt;&gt;"รายจ่าย"),0,E128)</f>
        <v>0</v>
      </c>
      <c r="J128" s="21" t="str">
        <f aca="false">IF(E128="","",ตั้งค่า!$B$4+SUM($H$5:H128)-SUM($I$5:I128))</f>
        <v/>
      </c>
      <c r="K128" s="22" t="str">
        <f aca="false">IF(A128="","",MONTH(A128))</f>
        <v/>
      </c>
      <c r="L128" s="22" t="str">
        <f aca="false">IF(A128="","",YEAR(A128))</f>
        <v/>
      </c>
    </row>
    <row r="129" customFormat="false" ht="15" hidden="false" customHeight="false" outlineLevel="0" collapsed="false">
      <c r="A129" s="19"/>
      <c r="B129" s="14"/>
      <c r="C129" s="14"/>
      <c r="D129" s="20" t="str">
        <f aca="false">IF(C129="","",IF(COUNTIF(ตั้งค่า!$A$7:$A$18,C129)&gt;0,"รายรับ",IF(COUNTIF(ตั้งค่า!$C$7:$C$31,C129)&gt;0,"รายจ่าย","ไม่พบหมวดหมู่")))</f>
        <v/>
      </c>
      <c r="E129" s="12"/>
      <c r="F129" s="14"/>
      <c r="G129" s="14"/>
      <c r="H129" s="21" t="n">
        <f aca="false">IF(OR(E129="",D129&lt;&gt;"รายรับ"),0,E129)</f>
        <v>0</v>
      </c>
      <c r="I129" s="21" t="n">
        <f aca="false">IF(OR(E129="",D129&lt;&gt;"รายจ่าย"),0,E129)</f>
        <v>0</v>
      </c>
      <c r="J129" s="21" t="str">
        <f aca="false">IF(E129="","",ตั้งค่า!$B$4+SUM($H$5:H129)-SUM($I$5:I129))</f>
        <v/>
      </c>
      <c r="K129" s="22" t="str">
        <f aca="false">IF(A129="","",MONTH(A129))</f>
        <v/>
      </c>
      <c r="L129" s="22" t="str">
        <f aca="false">IF(A129="","",YEAR(A129))</f>
        <v/>
      </c>
    </row>
    <row r="130" customFormat="false" ht="15" hidden="false" customHeight="false" outlineLevel="0" collapsed="false">
      <c r="A130" s="19"/>
      <c r="B130" s="14"/>
      <c r="C130" s="14"/>
      <c r="D130" s="20" t="str">
        <f aca="false">IF(C130="","",IF(COUNTIF(ตั้งค่า!$A$7:$A$18,C130)&gt;0,"รายรับ",IF(COUNTIF(ตั้งค่า!$C$7:$C$31,C130)&gt;0,"รายจ่าย","ไม่พบหมวดหมู่")))</f>
        <v/>
      </c>
      <c r="E130" s="12"/>
      <c r="F130" s="14"/>
      <c r="G130" s="14"/>
      <c r="H130" s="21" t="n">
        <f aca="false">IF(OR(E130="",D130&lt;&gt;"รายรับ"),0,E130)</f>
        <v>0</v>
      </c>
      <c r="I130" s="21" t="n">
        <f aca="false">IF(OR(E130="",D130&lt;&gt;"รายจ่าย"),0,E130)</f>
        <v>0</v>
      </c>
      <c r="J130" s="21" t="str">
        <f aca="false">IF(E130="","",ตั้งค่า!$B$4+SUM($H$5:H130)-SUM($I$5:I130))</f>
        <v/>
      </c>
      <c r="K130" s="22" t="str">
        <f aca="false">IF(A130="","",MONTH(A130))</f>
        <v/>
      </c>
      <c r="L130" s="22" t="str">
        <f aca="false">IF(A130="","",YEAR(A130))</f>
        <v/>
      </c>
    </row>
    <row r="131" customFormat="false" ht="15" hidden="false" customHeight="false" outlineLevel="0" collapsed="false">
      <c r="A131" s="19"/>
      <c r="B131" s="14"/>
      <c r="C131" s="14"/>
      <c r="D131" s="20" t="str">
        <f aca="false">IF(C131="","",IF(COUNTIF(ตั้งค่า!$A$7:$A$18,C131)&gt;0,"รายรับ",IF(COUNTIF(ตั้งค่า!$C$7:$C$31,C131)&gt;0,"รายจ่าย","ไม่พบหมวดหมู่")))</f>
        <v/>
      </c>
      <c r="E131" s="12"/>
      <c r="F131" s="14"/>
      <c r="G131" s="14"/>
      <c r="H131" s="21" t="n">
        <f aca="false">IF(OR(E131="",D131&lt;&gt;"รายรับ"),0,E131)</f>
        <v>0</v>
      </c>
      <c r="I131" s="21" t="n">
        <f aca="false">IF(OR(E131="",D131&lt;&gt;"รายจ่าย"),0,E131)</f>
        <v>0</v>
      </c>
      <c r="J131" s="21" t="str">
        <f aca="false">IF(E131="","",ตั้งค่า!$B$4+SUM($H$5:H131)-SUM($I$5:I131))</f>
        <v/>
      </c>
      <c r="K131" s="22" t="str">
        <f aca="false">IF(A131="","",MONTH(A131))</f>
        <v/>
      </c>
      <c r="L131" s="22" t="str">
        <f aca="false">IF(A131="","",YEAR(A131))</f>
        <v/>
      </c>
    </row>
    <row r="132" customFormat="false" ht="15" hidden="false" customHeight="false" outlineLevel="0" collapsed="false">
      <c r="A132" s="19"/>
      <c r="B132" s="14"/>
      <c r="C132" s="14"/>
      <c r="D132" s="20" t="str">
        <f aca="false">IF(C132="","",IF(COUNTIF(ตั้งค่า!$A$7:$A$18,C132)&gt;0,"รายรับ",IF(COUNTIF(ตั้งค่า!$C$7:$C$31,C132)&gt;0,"รายจ่าย","ไม่พบหมวดหมู่")))</f>
        <v/>
      </c>
      <c r="E132" s="12"/>
      <c r="F132" s="14"/>
      <c r="G132" s="14"/>
      <c r="H132" s="21" t="n">
        <f aca="false">IF(OR(E132="",D132&lt;&gt;"รายรับ"),0,E132)</f>
        <v>0</v>
      </c>
      <c r="I132" s="21" t="n">
        <f aca="false">IF(OR(E132="",D132&lt;&gt;"รายจ่าย"),0,E132)</f>
        <v>0</v>
      </c>
      <c r="J132" s="21" t="str">
        <f aca="false">IF(E132="","",ตั้งค่า!$B$4+SUM($H$5:H132)-SUM($I$5:I132))</f>
        <v/>
      </c>
      <c r="K132" s="22" t="str">
        <f aca="false">IF(A132="","",MONTH(A132))</f>
        <v/>
      </c>
      <c r="L132" s="22" t="str">
        <f aca="false">IF(A132="","",YEAR(A132))</f>
        <v/>
      </c>
    </row>
    <row r="133" customFormat="false" ht="15" hidden="false" customHeight="false" outlineLevel="0" collapsed="false">
      <c r="A133" s="19"/>
      <c r="B133" s="14"/>
      <c r="C133" s="14"/>
      <c r="D133" s="20" t="str">
        <f aca="false">IF(C133="","",IF(COUNTIF(ตั้งค่า!$A$7:$A$18,C133)&gt;0,"รายรับ",IF(COUNTIF(ตั้งค่า!$C$7:$C$31,C133)&gt;0,"รายจ่าย","ไม่พบหมวดหมู่")))</f>
        <v/>
      </c>
      <c r="E133" s="12"/>
      <c r="F133" s="14"/>
      <c r="G133" s="14"/>
      <c r="H133" s="21" t="n">
        <f aca="false">IF(OR(E133="",D133&lt;&gt;"รายรับ"),0,E133)</f>
        <v>0</v>
      </c>
      <c r="I133" s="21" t="n">
        <f aca="false">IF(OR(E133="",D133&lt;&gt;"รายจ่าย"),0,E133)</f>
        <v>0</v>
      </c>
      <c r="J133" s="21" t="str">
        <f aca="false">IF(E133="","",ตั้งค่า!$B$4+SUM($H$5:H133)-SUM($I$5:I133))</f>
        <v/>
      </c>
      <c r="K133" s="22" t="str">
        <f aca="false">IF(A133="","",MONTH(A133))</f>
        <v/>
      </c>
      <c r="L133" s="22" t="str">
        <f aca="false">IF(A133="","",YEAR(A133))</f>
        <v/>
      </c>
    </row>
    <row r="134" customFormat="false" ht="15" hidden="false" customHeight="false" outlineLevel="0" collapsed="false">
      <c r="A134" s="19"/>
      <c r="B134" s="14"/>
      <c r="C134" s="14"/>
      <c r="D134" s="20" t="str">
        <f aca="false">IF(C134="","",IF(COUNTIF(ตั้งค่า!$A$7:$A$18,C134)&gt;0,"รายรับ",IF(COUNTIF(ตั้งค่า!$C$7:$C$31,C134)&gt;0,"รายจ่าย","ไม่พบหมวดหมู่")))</f>
        <v/>
      </c>
      <c r="E134" s="12"/>
      <c r="F134" s="14"/>
      <c r="G134" s="14"/>
      <c r="H134" s="21" t="n">
        <f aca="false">IF(OR(E134="",D134&lt;&gt;"รายรับ"),0,E134)</f>
        <v>0</v>
      </c>
      <c r="I134" s="21" t="n">
        <f aca="false">IF(OR(E134="",D134&lt;&gt;"รายจ่าย"),0,E134)</f>
        <v>0</v>
      </c>
      <c r="J134" s="21" t="str">
        <f aca="false">IF(E134="","",ตั้งค่า!$B$4+SUM($H$5:H134)-SUM($I$5:I134))</f>
        <v/>
      </c>
      <c r="K134" s="22" t="str">
        <f aca="false">IF(A134="","",MONTH(A134))</f>
        <v/>
      </c>
      <c r="L134" s="22" t="str">
        <f aca="false">IF(A134="","",YEAR(A134))</f>
        <v/>
      </c>
    </row>
    <row r="135" customFormat="false" ht="15" hidden="false" customHeight="false" outlineLevel="0" collapsed="false">
      <c r="A135" s="19"/>
      <c r="B135" s="14"/>
      <c r="C135" s="14"/>
      <c r="D135" s="20" t="str">
        <f aca="false">IF(C135="","",IF(COUNTIF(ตั้งค่า!$A$7:$A$18,C135)&gt;0,"รายรับ",IF(COUNTIF(ตั้งค่า!$C$7:$C$31,C135)&gt;0,"รายจ่าย","ไม่พบหมวดหมู่")))</f>
        <v/>
      </c>
      <c r="E135" s="12"/>
      <c r="F135" s="14"/>
      <c r="G135" s="14"/>
      <c r="H135" s="21" t="n">
        <f aca="false">IF(OR(E135="",D135&lt;&gt;"รายรับ"),0,E135)</f>
        <v>0</v>
      </c>
      <c r="I135" s="21" t="n">
        <f aca="false">IF(OR(E135="",D135&lt;&gt;"รายจ่าย"),0,E135)</f>
        <v>0</v>
      </c>
      <c r="J135" s="21" t="str">
        <f aca="false">IF(E135="","",ตั้งค่า!$B$4+SUM($H$5:H135)-SUM($I$5:I135))</f>
        <v/>
      </c>
      <c r="K135" s="22" t="str">
        <f aca="false">IF(A135="","",MONTH(A135))</f>
        <v/>
      </c>
      <c r="L135" s="22" t="str">
        <f aca="false">IF(A135="","",YEAR(A135))</f>
        <v/>
      </c>
    </row>
    <row r="136" customFormat="false" ht="15" hidden="false" customHeight="false" outlineLevel="0" collapsed="false">
      <c r="A136" s="19"/>
      <c r="B136" s="14"/>
      <c r="C136" s="14"/>
      <c r="D136" s="20" t="str">
        <f aca="false">IF(C136="","",IF(COUNTIF(ตั้งค่า!$A$7:$A$18,C136)&gt;0,"รายรับ",IF(COUNTIF(ตั้งค่า!$C$7:$C$31,C136)&gt;0,"รายจ่าย","ไม่พบหมวดหมู่")))</f>
        <v/>
      </c>
      <c r="E136" s="12"/>
      <c r="F136" s="14"/>
      <c r="G136" s="14"/>
      <c r="H136" s="21" t="n">
        <f aca="false">IF(OR(E136="",D136&lt;&gt;"รายรับ"),0,E136)</f>
        <v>0</v>
      </c>
      <c r="I136" s="21" t="n">
        <f aca="false">IF(OR(E136="",D136&lt;&gt;"รายจ่าย"),0,E136)</f>
        <v>0</v>
      </c>
      <c r="J136" s="21" t="str">
        <f aca="false">IF(E136="","",ตั้งค่า!$B$4+SUM($H$5:H136)-SUM($I$5:I136))</f>
        <v/>
      </c>
      <c r="K136" s="22" t="str">
        <f aca="false">IF(A136="","",MONTH(A136))</f>
        <v/>
      </c>
      <c r="L136" s="22" t="str">
        <f aca="false">IF(A136="","",YEAR(A136))</f>
        <v/>
      </c>
    </row>
    <row r="137" customFormat="false" ht="15" hidden="false" customHeight="false" outlineLevel="0" collapsed="false">
      <c r="A137" s="19"/>
      <c r="B137" s="14"/>
      <c r="C137" s="14"/>
      <c r="D137" s="20" t="str">
        <f aca="false">IF(C137="","",IF(COUNTIF(ตั้งค่า!$A$7:$A$18,C137)&gt;0,"รายรับ",IF(COUNTIF(ตั้งค่า!$C$7:$C$31,C137)&gt;0,"รายจ่าย","ไม่พบหมวดหมู่")))</f>
        <v/>
      </c>
      <c r="E137" s="12"/>
      <c r="F137" s="14"/>
      <c r="G137" s="14"/>
      <c r="H137" s="21" t="n">
        <f aca="false">IF(OR(E137="",D137&lt;&gt;"รายรับ"),0,E137)</f>
        <v>0</v>
      </c>
      <c r="I137" s="21" t="n">
        <f aca="false">IF(OR(E137="",D137&lt;&gt;"รายจ่าย"),0,E137)</f>
        <v>0</v>
      </c>
      <c r="J137" s="21" t="str">
        <f aca="false">IF(E137="","",ตั้งค่า!$B$4+SUM($H$5:H137)-SUM($I$5:I137))</f>
        <v/>
      </c>
      <c r="K137" s="22" t="str">
        <f aca="false">IF(A137="","",MONTH(A137))</f>
        <v/>
      </c>
      <c r="L137" s="22" t="str">
        <f aca="false">IF(A137="","",YEAR(A137))</f>
        <v/>
      </c>
    </row>
    <row r="138" customFormat="false" ht="15" hidden="false" customHeight="false" outlineLevel="0" collapsed="false">
      <c r="A138" s="19"/>
      <c r="B138" s="14"/>
      <c r="C138" s="14"/>
      <c r="D138" s="20" t="str">
        <f aca="false">IF(C138="","",IF(COUNTIF(ตั้งค่า!$A$7:$A$18,C138)&gt;0,"รายรับ",IF(COUNTIF(ตั้งค่า!$C$7:$C$31,C138)&gt;0,"รายจ่าย","ไม่พบหมวดหมู่")))</f>
        <v/>
      </c>
      <c r="E138" s="12"/>
      <c r="F138" s="14"/>
      <c r="G138" s="14"/>
      <c r="H138" s="21" t="n">
        <f aca="false">IF(OR(E138="",D138&lt;&gt;"รายรับ"),0,E138)</f>
        <v>0</v>
      </c>
      <c r="I138" s="21" t="n">
        <f aca="false">IF(OR(E138="",D138&lt;&gt;"รายจ่าย"),0,E138)</f>
        <v>0</v>
      </c>
      <c r="J138" s="21" t="str">
        <f aca="false">IF(E138="","",ตั้งค่า!$B$4+SUM($H$5:H138)-SUM($I$5:I138))</f>
        <v/>
      </c>
      <c r="K138" s="22" t="str">
        <f aca="false">IF(A138="","",MONTH(A138))</f>
        <v/>
      </c>
      <c r="L138" s="22" t="str">
        <f aca="false">IF(A138="","",YEAR(A138))</f>
        <v/>
      </c>
    </row>
    <row r="139" customFormat="false" ht="15" hidden="false" customHeight="false" outlineLevel="0" collapsed="false">
      <c r="A139" s="19"/>
      <c r="B139" s="14"/>
      <c r="C139" s="14"/>
      <c r="D139" s="20" t="str">
        <f aca="false">IF(C139="","",IF(COUNTIF(ตั้งค่า!$A$7:$A$18,C139)&gt;0,"รายรับ",IF(COUNTIF(ตั้งค่า!$C$7:$C$31,C139)&gt;0,"รายจ่าย","ไม่พบหมวดหมู่")))</f>
        <v/>
      </c>
      <c r="E139" s="12"/>
      <c r="F139" s="14"/>
      <c r="G139" s="14"/>
      <c r="H139" s="21" t="n">
        <f aca="false">IF(OR(E139="",D139&lt;&gt;"รายรับ"),0,E139)</f>
        <v>0</v>
      </c>
      <c r="I139" s="21" t="n">
        <f aca="false">IF(OR(E139="",D139&lt;&gt;"รายจ่าย"),0,E139)</f>
        <v>0</v>
      </c>
      <c r="J139" s="21" t="str">
        <f aca="false">IF(E139="","",ตั้งค่า!$B$4+SUM($H$5:H139)-SUM($I$5:I139))</f>
        <v/>
      </c>
      <c r="K139" s="22" t="str">
        <f aca="false">IF(A139="","",MONTH(A139))</f>
        <v/>
      </c>
      <c r="L139" s="22" t="str">
        <f aca="false">IF(A139="","",YEAR(A139))</f>
        <v/>
      </c>
    </row>
    <row r="140" customFormat="false" ht="15" hidden="false" customHeight="false" outlineLevel="0" collapsed="false">
      <c r="A140" s="19"/>
      <c r="B140" s="14"/>
      <c r="C140" s="14"/>
      <c r="D140" s="20" t="str">
        <f aca="false">IF(C140="","",IF(COUNTIF(ตั้งค่า!$A$7:$A$18,C140)&gt;0,"รายรับ",IF(COUNTIF(ตั้งค่า!$C$7:$C$31,C140)&gt;0,"รายจ่าย","ไม่พบหมวดหมู่")))</f>
        <v/>
      </c>
      <c r="E140" s="12"/>
      <c r="F140" s="14"/>
      <c r="G140" s="14"/>
      <c r="H140" s="21" t="n">
        <f aca="false">IF(OR(E140="",D140&lt;&gt;"รายรับ"),0,E140)</f>
        <v>0</v>
      </c>
      <c r="I140" s="21" t="n">
        <f aca="false">IF(OR(E140="",D140&lt;&gt;"รายจ่าย"),0,E140)</f>
        <v>0</v>
      </c>
      <c r="J140" s="21" t="str">
        <f aca="false">IF(E140="","",ตั้งค่า!$B$4+SUM($H$5:H140)-SUM($I$5:I140))</f>
        <v/>
      </c>
      <c r="K140" s="22" t="str">
        <f aca="false">IF(A140="","",MONTH(A140))</f>
        <v/>
      </c>
      <c r="L140" s="22" t="str">
        <f aca="false">IF(A140="","",YEAR(A140))</f>
        <v/>
      </c>
    </row>
    <row r="141" customFormat="false" ht="15" hidden="false" customHeight="false" outlineLevel="0" collapsed="false">
      <c r="A141" s="19"/>
      <c r="B141" s="14"/>
      <c r="C141" s="14"/>
      <c r="D141" s="20" t="str">
        <f aca="false">IF(C141="","",IF(COUNTIF(ตั้งค่า!$A$7:$A$18,C141)&gt;0,"รายรับ",IF(COUNTIF(ตั้งค่า!$C$7:$C$31,C141)&gt;0,"รายจ่าย","ไม่พบหมวดหมู่")))</f>
        <v/>
      </c>
      <c r="E141" s="12"/>
      <c r="F141" s="14"/>
      <c r="G141" s="14"/>
      <c r="H141" s="21" t="n">
        <f aca="false">IF(OR(E141="",D141&lt;&gt;"รายรับ"),0,E141)</f>
        <v>0</v>
      </c>
      <c r="I141" s="21" t="n">
        <f aca="false">IF(OR(E141="",D141&lt;&gt;"รายจ่าย"),0,E141)</f>
        <v>0</v>
      </c>
      <c r="J141" s="21" t="str">
        <f aca="false">IF(E141="","",ตั้งค่า!$B$4+SUM($H$5:H141)-SUM($I$5:I141))</f>
        <v/>
      </c>
      <c r="K141" s="22" t="str">
        <f aca="false">IF(A141="","",MONTH(A141))</f>
        <v/>
      </c>
      <c r="L141" s="22" t="str">
        <f aca="false">IF(A141="","",YEAR(A141))</f>
        <v/>
      </c>
    </row>
    <row r="142" customFormat="false" ht="15" hidden="false" customHeight="false" outlineLevel="0" collapsed="false">
      <c r="A142" s="19"/>
      <c r="B142" s="14"/>
      <c r="C142" s="14"/>
      <c r="D142" s="20" t="str">
        <f aca="false">IF(C142="","",IF(COUNTIF(ตั้งค่า!$A$7:$A$18,C142)&gt;0,"รายรับ",IF(COUNTIF(ตั้งค่า!$C$7:$C$31,C142)&gt;0,"รายจ่าย","ไม่พบหมวดหมู่")))</f>
        <v/>
      </c>
      <c r="E142" s="12"/>
      <c r="F142" s="14"/>
      <c r="G142" s="14"/>
      <c r="H142" s="21" t="n">
        <f aca="false">IF(OR(E142="",D142&lt;&gt;"รายรับ"),0,E142)</f>
        <v>0</v>
      </c>
      <c r="I142" s="21" t="n">
        <f aca="false">IF(OR(E142="",D142&lt;&gt;"รายจ่าย"),0,E142)</f>
        <v>0</v>
      </c>
      <c r="J142" s="21" t="str">
        <f aca="false">IF(E142="","",ตั้งค่า!$B$4+SUM($H$5:H142)-SUM($I$5:I142))</f>
        <v/>
      </c>
      <c r="K142" s="22" t="str">
        <f aca="false">IF(A142="","",MONTH(A142))</f>
        <v/>
      </c>
      <c r="L142" s="22" t="str">
        <f aca="false">IF(A142="","",YEAR(A142))</f>
        <v/>
      </c>
    </row>
    <row r="143" customFormat="false" ht="15" hidden="false" customHeight="false" outlineLevel="0" collapsed="false">
      <c r="A143" s="19"/>
      <c r="B143" s="14"/>
      <c r="C143" s="14"/>
      <c r="D143" s="20" t="str">
        <f aca="false">IF(C143="","",IF(COUNTIF(ตั้งค่า!$A$7:$A$18,C143)&gt;0,"รายรับ",IF(COUNTIF(ตั้งค่า!$C$7:$C$31,C143)&gt;0,"รายจ่าย","ไม่พบหมวดหมู่")))</f>
        <v/>
      </c>
      <c r="E143" s="12"/>
      <c r="F143" s="14"/>
      <c r="G143" s="14"/>
      <c r="H143" s="21" t="n">
        <f aca="false">IF(OR(E143="",D143&lt;&gt;"รายรับ"),0,E143)</f>
        <v>0</v>
      </c>
      <c r="I143" s="21" t="n">
        <f aca="false">IF(OR(E143="",D143&lt;&gt;"รายจ่าย"),0,E143)</f>
        <v>0</v>
      </c>
      <c r="J143" s="21" t="str">
        <f aca="false">IF(E143="","",ตั้งค่า!$B$4+SUM($H$5:H143)-SUM($I$5:I143))</f>
        <v/>
      </c>
      <c r="K143" s="22" t="str">
        <f aca="false">IF(A143="","",MONTH(A143))</f>
        <v/>
      </c>
      <c r="L143" s="22" t="str">
        <f aca="false">IF(A143="","",YEAR(A143))</f>
        <v/>
      </c>
    </row>
    <row r="144" customFormat="false" ht="15" hidden="false" customHeight="false" outlineLevel="0" collapsed="false">
      <c r="A144" s="19"/>
      <c r="B144" s="14"/>
      <c r="C144" s="14"/>
      <c r="D144" s="20" t="str">
        <f aca="false">IF(C144="","",IF(COUNTIF(ตั้งค่า!$A$7:$A$18,C144)&gt;0,"รายรับ",IF(COUNTIF(ตั้งค่า!$C$7:$C$31,C144)&gt;0,"รายจ่าย","ไม่พบหมวดหมู่")))</f>
        <v/>
      </c>
      <c r="E144" s="12"/>
      <c r="F144" s="14"/>
      <c r="G144" s="14"/>
      <c r="H144" s="21" t="n">
        <f aca="false">IF(OR(E144="",D144&lt;&gt;"รายรับ"),0,E144)</f>
        <v>0</v>
      </c>
      <c r="I144" s="21" t="n">
        <f aca="false">IF(OR(E144="",D144&lt;&gt;"รายจ่าย"),0,E144)</f>
        <v>0</v>
      </c>
      <c r="J144" s="21" t="str">
        <f aca="false">IF(E144="","",ตั้งค่า!$B$4+SUM($H$5:H144)-SUM($I$5:I144))</f>
        <v/>
      </c>
      <c r="K144" s="22" t="str">
        <f aca="false">IF(A144="","",MONTH(A144))</f>
        <v/>
      </c>
      <c r="L144" s="22" t="str">
        <f aca="false">IF(A144="","",YEAR(A144))</f>
        <v/>
      </c>
    </row>
    <row r="145" customFormat="false" ht="15" hidden="false" customHeight="false" outlineLevel="0" collapsed="false">
      <c r="A145" s="19"/>
      <c r="B145" s="14"/>
      <c r="C145" s="14"/>
      <c r="D145" s="20" t="str">
        <f aca="false">IF(C145="","",IF(COUNTIF(ตั้งค่า!$A$7:$A$18,C145)&gt;0,"รายรับ",IF(COUNTIF(ตั้งค่า!$C$7:$C$31,C145)&gt;0,"รายจ่าย","ไม่พบหมวดหมู่")))</f>
        <v/>
      </c>
      <c r="E145" s="12"/>
      <c r="F145" s="14"/>
      <c r="G145" s="14"/>
      <c r="H145" s="21" t="n">
        <f aca="false">IF(OR(E145="",D145&lt;&gt;"รายรับ"),0,E145)</f>
        <v>0</v>
      </c>
      <c r="I145" s="21" t="n">
        <f aca="false">IF(OR(E145="",D145&lt;&gt;"รายจ่าย"),0,E145)</f>
        <v>0</v>
      </c>
      <c r="J145" s="21" t="str">
        <f aca="false">IF(E145="","",ตั้งค่า!$B$4+SUM($H$5:H145)-SUM($I$5:I145))</f>
        <v/>
      </c>
      <c r="K145" s="22" t="str">
        <f aca="false">IF(A145="","",MONTH(A145))</f>
        <v/>
      </c>
      <c r="L145" s="22" t="str">
        <f aca="false">IF(A145="","",YEAR(A145))</f>
        <v/>
      </c>
    </row>
    <row r="146" customFormat="false" ht="15" hidden="false" customHeight="false" outlineLevel="0" collapsed="false">
      <c r="A146" s="19"/>
      <c r="B146" s="14"/>
      <c r="C146" s="14"/>
      <c r="D146" s="20" t="str">
        <f aca="false">IF(C146="","",IF(COUNTIF(ตั้งค่า!$A$7:$A$18,C146)&gt;0,"รายรับ",IF(COUNTIF(ตั้งค่า!$C$7:$C$31,C146)&gt;0,"รายจ่าย","ไม่พบหมวดหมู่")))</f>
        <v/>
      </c>
      <c r="E146" s="12"/>
      <c r="F146" s="14"/>
      <c r="G146" s="14"/>
      <c r="H146" s="21" t="n">
        <f aca="false">IF(OR(E146="",D146&lt;&gt;"รายรับ"),0,E146)</f>
        <v>0</v>
      </c>
      <c r="I146" s="21" t="n">
        <f aca="false">IF(OR(E146="",D146&lt;&gt;"รายจ่าย"),0,E146)</f>
        <v>0</v>
      </c>
      <c r="J146" s="21" t="str">
        <f aca="false">IF(E146="","",ตั้งค่า!$B$4+SUM($H$5:H146)-SUM($I$5:I146))</f>
        <v/>
      </c>
      <c r="K146" s="22" t="str">
        <f aca="false">IF(A146="","",MONTH(A146))</f>
        <v/>
      </c>
      <c r="L146" s="22" t="str">
        <f aca="false">IF(A146="","",YEAR(A146))</f>
        <v/>
      </c>
    </row>
    <row r="147" customFormat="false" ht="15" hidden="false" customHeight="false" outlineLevel="0" collapsed="false">
      <c r="A147" s="19"/>
      <c r="B147" s="14"/>
      <c r="C147" s="14"/>
      <c r="D147" s="20" t="str">
        <f aca="false">IF(C147="","",IF(COUNTIF(ตั้งค่า!$A$7:$A$18,C147)&gt;0,"รายรับ",IF(COUNTIF(ตั้งค่า!$C$7:$C$31,C147)&gt;0,"รายจ่าย","ไม่พบหมวดหมู่")))</f>
        <v/>
      </c>
      <c r="E147" s="12"/>
      <c r="F147" s="14"/>
      <c r="G147" s="14"/>
      <c r="H147" s="21" t="n">
        <f aca="false">IF(OR(E147="",D147&lt;&gt;"รายรับ"),0,E147)</f>
        <v>0</v>
      </c>
      <c r="I147" s="21" t="n">
        <f aca="false">IF(OR(E147="",D147&lt;&gt;"รายจ่าย"),0,E147)</f>
        <v>0</v>
      </c>
      <c r="J147" s="21" t="str">
        <f aca="false">IF(E147="","",ตั้งค่า!$B$4+SUM($H$5:H147)-SUM($I$5:I147))</f>
        <v/>
      </c>
      <c r="K147" s="22" t="str">
        <f aca="false">IF(A147="","",MONTH(A147))</f>
        <v/>
      </c>
      <c r="L147" s="22" t="str">
        <f aca="false">IF(A147="","",YEAR(A147))</f>
        <v/>
      </c>
    </row>
    <row r="148" customFormat="false" ht="15" hidden="false" customHeight="false" outlineLevel="0" collapsed="false">
      <c r="A148" s="19"/>
      <c r="B148" s="14"/>
      <c r="C148" s="14"/>
      <c r="D148" s="20" t="str">
        <f aca="false">IF(C148="","",IF(COUNTIF(ตั้งค่า!$A$7:$A$18,C148)&gt;0,"รายรับ",IF(COUNTIF(ตั้งค่า!$C$7:$C$31,C148)&gt;0,"รายจ่าย","ไม่พบหมวดหมู่")))</f>
        <v/>
      </c>
      <c r="E148" s="12"/>
      <c r="F148" s="14"/>
      <c r="G148" s="14"/>
      <c r="H148" s="21" t="n">
        <f aca="false">IF(OR(E148="",D148&lt;&gt;"รายรับ"),0,E148)</f>
        <v>0</v>
      </c>
      <c r="I148" s="21" t="n">
        <f aca="false">IF(OR(E148="",D148&lt;&gt;"รายจ่าย"),0,E148)</f>
        <v>0</v>
      </c>
      <c r="J148" s="21" t="str">
        <f aca="false">IF(E148="","",ตั้งค่า!$B$4+SUM($H$5:H148)-SUM($I$5:I148))</f>
        <v/>
      </c>
      <c r="K148" s="22" t="str">
        <f aca="false">IF(A148="","",MONTH(A148))</f>
        <v/>
      </c>
      <c r="L148" s="22" t="str">
        <f aca="false">IF(A148="","",YEAR(A148))</f>
        <v/>
      </c>
    </row>
    <row r="149" customFormat="false" ht="15" hidden="false" customHeight="false" outlineLevel="0" collapsed="false">
      <c r="A149" s="19"/>
      <c r="B149" s="14"/>
      <c r="C149" s="14"/>
      <c r="D149" s="20" t="str">
        <f aca="false">IF(C149="","",IF(COUNTIF(ตั้งค่า!$A$7:$A$18,C149)&gt;0,"รายรับ",IF(COUNTIF(ตั้งค่า!$C$7:$C$31,C149)&gt;0,"รายจ่าย","ไม่พบหมวดหมู่")))</f>
        <v/>
      </c>
      <c r="E149" s="12"/>
      <c r="F149" s="14"/>
      <c r="G149" s="14"/>
      <c r="H149" s="21" t="n">
        <f aca="false">IF(OR(E149="",D149&lt;&gt;"รายรับ"),0,E149)</f>
        <v>0</v>
      </c>
      <c r="I149" s="21" t="n">
        <f aca="false">IF(OR(E149="",D149&lt;&gt;"รายจ่าย"),0,E149)</f>
        <v>0</v>
      </c>
      <c r="J149" s="21" t="str">
        <f aca="false">IF(E149="","",ตั้งค่า!$B$4+SUM($H$5:H149)-SUM($I$5:I149))</f>
        <v/>
      </c>
      <c r="K149" s="22" t="str">
        <f aca="false">IF(A149="","",MONTH(A149))</f>
        <v/>
      </c>
      <c r="L149" s="22" t="str">
        <f aca="false">IF(A149="","",YEAR(A149))</f>
        <v/>
      </c>
    </row>
    <row r="150" customFormat="false" ht="15" hidden="false" customHeight="false" outlineLevel="0" collapsed="false">
      <c r="A150" s="19"/>
      <c r="B150" s="14"/>
      <c r="C150" s="14"/>
      <c r="D150" s="20" t="str">
        <f aca="false">IF(C150="","",IF(COUNTIF(ตั้งค่า!$A$7:$A$18,C150)&gt;0,"รายรับ",IF(COUNTIF(ตั้งค่า!$C$7:$C$31,C150)&gt;0,"รายจ่าย","ไม่พบหมวดหมู่")))</f>
        <v/>
      </c>
      <c r="E150" s="12"/>
      <c r="F150" s="14"/>
      <c r="G150" s="14"/>
      <c r="H150" s="21" t="n">
        <f aca="false">IF(OR(E150="",D150&lt;&gt;"รายรับ"),0,E150)</f>
        <v>0</v>
      </c>
      <c r="I150" s="21" t="n">
        <f aca="false">IF(OR(E150="",D150&lt;&gt;"รายจ่าย"),0,E150)</f>
        <v>0</v>
      </c>
      <c r="J150" s="21" t="str">
        <f aca="false">IF(E150="","",ตั้งค่า!$B$4+SUM($H$5:H150)-SUM($I$5:I150))</f>
        <v/>
      </c>
      <c r="K150" s="22" t="str">
        <f aca="false">IF(A150="","",MONTH(A150))</f>
        <v/>
      </c>
      <c r="L150" s="22" t="str">
        <f aca="false">IF(A150="","",YEAR(A150))</f>
        <v/>
      </c>
    </row>
    <row r="151" customFormat="false" ht="15" hidden="false" customHeight="false" outlineLevel="0" collapsed="false">
      <c r="A151" s="19"/>
      <c r="B151" s="14"/>
      <c r="C151" s="14"/>
      <c r="D151" s="20" t="str">
        <f aca="false">IF(C151="","",IF(COUNTIF(ตั้งค่า!$A$7:$A$18,C151)&gt;0,"รายรับ",IF(COUNTIF(ตั้งค่า!$C$7:$C$31,C151)&gt;0,"รายจ่าย","ไม่พบหมวดหมู่")))</f>
        <v/>
      </c>
      <c r="E151" s="12"/>
      <c r="F151" s="14"/>
      <c r="G151" s="14"/>
      <c r="H151" s="21" t="n">
        <f aca="false">IF(OR(E151="",D151&lt;&gt;"รายรับ"),0,E151)</f>
        <v>0</v>
      </c>
      <c r="I151" s="21" t="n">
        <f aca="false">IF(OR(E151="",D151&lt;&gt;"รายจ่าย"),0,E151)</f>
        <v>0</v>
      </c>
      <c r="J151" s="21" t="str">
        <f aca="false">IF(E151="","",ตั้งค่า!$B$4+SUM($H$5:H151)-SUM($I$5:I151))</f>
        <v/>
      </c>
      <c r="K151" s="22" t="str">
        <f aca="false">IF(A151="","",MONTH(A151))</f>
        <v/>
      </c>
      <c r="L151" s="22" t="str">
        <f aca="false">IF(A151="","",YEAR(A151))</f>
        <v/>
      </c>
    </row>
    <row r="152" customFormat="false" ht="15" hidden="false" customHeight="false" outlineLevel="0" collapsed="false">
      <c r="A152" s="19"/>
      <c r="B152" s="14"/>
      <c r="C152" s="14"/>
      <c r="D152" s="20" t="str">
        <f aca="false">IF(C152="","",IF(COUNTIF(ตั้งค่า!$A$7:$A$18,C152)&gt;0,"รายรับ",IF(COUNTIF(ตั้งค่า!$C$7:$C$31,C152)&gt;0,"รายจ่าย","ไม่พบหมวดหมู่")))</f>
        <v/>
      </c>
      <c r="E152" s="12"/>
      <c r="F152" s="14"/>
      <c r="G152" s="14"/>
      <c r="H152" s="21" t="n">
        <f aca="false">IF(OR(E152="",D152&lt;&gt;"รายรับ"),0,E152)</f>
        <v>0</v>
      </c>
      <c r="I152" s="21" t="n">
        <f aca="false">IF(OR(E152="",D152&lt;&gt;"รายจ่าย"),0,E152)</f>
        <v>0</v>
      </c>
      <c r="J152" s="21" t="str">
        <f aca="false">IF(E152="","",ตั้งค่า!$B$4+SUM($H$5:H152)-SUM($I$5:I152))</f>
        <v/>
      </c>
      <c r="K152" s="22" t="str">
        <f aca="false">IF(A152="","",MONTH(A152))</f>
        <v/>
      </c>
      <c r="L152" s="22" t="str">
        <f aca="false">IF(A152="","",YEAR(A152))</f>
        <v/>
      </c>
    </row>
    <row r="153" customFormat="false" ht="15" hidden="false" customHeight="false" outlineLevel="0" collapsed="false">
      <c r="A153" s="19"/>
      <c r="B153" s="14"/>
      <c r="C153" s="14"/>
      <c r="D153" s="20" t="str">
        <f aca="false">IF(C153="","",IF(COUNTIF(ตั้งค่า!$A$7:$A$18,C153)&gt;0,"รายรับ",IF(COUNTIF(ตั้งค่า!$C$7:$C$31,C153)&gt;0,"รายจ่าย","ไม่พบหมวดหมู่")))</f>
        <v/>
      </c>
      <c r="E153" s="12"/>
      <c r="F153" s="14"/>
      <c r="G153" s="14"/>
      <c r="H153" s="21" t="n">
        <f aca="false">IF(OR(E153="",D153&lt;&gt;"รายรับ"),0,E153)</f>
        <v>0</v>
      </c>
      <c r="I153" s="21" t="n">
        <f aca="false">IF(OR(E153="",D153&lt;&gt;"รายจ่าย"),0,E153)</f>
        <v>0</v>
      </c>
      <c r="J153" s="21" t="str">
        <f aca="false">IF(E153="","",ตั้งค่า!$B$4+SUM($H$5:H153)-SUM($I$5:I153))</f>
        <v/>
      </c>
      <c r="K153" s="22" t="str">
        <f aca="false">IF(A153="","",MONTH(A153))</f>
        <v/>
      </c>
      <c r="L153" s="22" t="str">
        <f aca="false">IF(A153="","",YEAR(A153))</f>
        <v/>
      </c>
    </row>
    <row r="154" customFormat="false" ht="15" hidden="false" customHeight="false" outlineLevel="0" collapsed="false">
      <c r="A154" s="19"/>
      <c r="B154" s="14"/>
      <c r="C154" s="14"/>
      <c r="D154" s="20" t="str">
        <f aca="false">IF(C154="","",IF(COUNTIF(ตั้งค่า!$A$7:$A$18,C154)&gt;0,"รายรับ",IF(COUNTIF(ตั้งค่า!$C$7:$C$31,C154)&gt;0,"รายจ่าย","ไม่พบหมวดหมู่")))</f>
        <v/>
      </c>
      <c r="E154" s="12"/>
      <c r="F154" s="14"/>
      <c r="G154" s="14"/>
      <c r="H154" s="21" t="n">
        <f aca="false">IF(OR(E154="",D154&lt;&gt;"รายรับ"),0,E154)</f>
        <v>0</v>
      </c>
      <c r="I154" s="21" t="n">
        <f aca="false">IF(OR(E154="",D154&lt;&gt;"รายจ่าย"),0,E154)</f>
        <v>0</v>
      </c>
      <c r="J154" s="21" t="str">
        <f aca="false">IF(E154="","",ตั้งค่า!$B$4+SUM($H$5:H154)-SUM($I$5:I154))</f>
        <v/>
      </c>
      <c r="K154" s="22" t="str">
        <f aca="false">IF(A154="","",MONTH(A154))</f>
        <v/>
      </c>
      <c r="L154" s="22" t="str">
        <f aca="false">IF(A154="","",YEAR(A154))</f>
        <v/>
      </c>
    </row>
    <row r="155" customFormat="false" ht="15" hidden="false" customHeight="false" outlineLevel="0" collapsed="false">
      <c r="A155" s="19"/>
      <c r="B155" s="14"/>
      <c r="C155" s="14"/>
      <c r="D155" s="20" t="str">
        <f aca="false">IF(C155="","",IF(COUNTIF(ตั้งค่า!$A$7:$A$18,C155)&gt;0,"รายรับ",IF(COUNTIF(ตั้งค่า!$C$7:$C$31,C155)&gt;0,"รายจ่าย","ไม่พบหมวดหมู่")))</f>
        <v/>
      </c>
      <c r="E155" s="12"/>
      <c r="F155" s="14"/>
      <c r="G155" s="14"/>
      <c r="H155" s="21" t="n">
        <f aca="false">IF(OR(E155="",D155&lt;&gt;"รายรับ"),0,E155)</f>
        <v>0</v>
      </c>
      <c r="I155" s="21" t="n">
        <f aca="false">IF(OR(E155="",D155&lt;&gt;"รายจ่าย"),0,E155)</f>
        <v>0</v>
      </c>
      <c r="J155" s="21" t="str">
        <f aca="false">IF(E155="","",ตั้งค่า!$B$4+SUM($H$5:H155)-SUM($I$5:I155))</f>
        <v/>
      </c>
      <c r="K155" s="22" t="str">
        <f aca="false">IF(A155="","",MONTH(A155))</f>
        <v/>
      </c>
      <c r="L155" s="22" t="str">
        <f aca="false">IF(A155="","",YEAR(A155))</f>
        <v/>
      </c>
    </row>
    <row r="156" customFormat="false" ht="15" hidden="false" customHeight="false" outlineLevel="0" collapsed="false">
      <c r="A156" s="19"/>
      <c r="B156" s="14"/>
      <c r="C156" s="14"/>
      <c r="D156" s="20" t="str">
        <f aca="false">IF(C156="","",IF(COUNTIF(ตั้งค่า!$A$7:$A$18,C156)&gt;0,"รายรับ",IF(COUNTIF(ตั้งค่า!$C$7:$C$31,C156)&gt;0,"รายจ่าย","ไม่พบหมวดหมู่")))</f>
        <v/>
      </c>
      <c r="E156" s="12"/>
      <c r="F156" s="14"/>
      <c r="G156" s="14"/>
      <c r="H156" s="21" t="n">
        <f aca="false">IF(OR(E156="",D156&lt;&gt;"รายรับ"),0,E156)</f>
        <v>0</v>
      </c>
      <c r="I156" s="21" t="n">
        <f aca="false">IF(OR(E156="",D156&lt;&gt;"รายจ่าย"),0,E156)</f>
        <v>0</v>
      </c>
      <c r="J156" s="21" t="str">
        <f aca="false">IF(E156="","",ตั้งค่า!$B$4+SUM($H$5:H156)-SUM($I$5:I156))</f>
        <v/>
      </c>
      <c r="K156" s="22" t="str">
        <f aca="false">IF(A156="","",MONTH(A156))</f>
        <v/>
      </c>
      <c r="L156" s="22" t="str">
        <f aca="false">IF(A156="","",YEAR(A156))</f>
        <v/>
      </c>
    </row>
    <row r="157" customFormat="false" ht="15" hidden="false" customHeight="false" outlineLevel="0" collapsed="false">
      <c r="A157" s="19"/>
      <c r="B157" s="14"/>
      <c r="C157" s="14"/>
      <c r="D157" s="20" t="str">
        <f aca="false">IF(C157="","",IF(COUNTIF(ตั้งค่า!$A$7:$A$18,C157)&gt;0,"รายรับ",IF(COUNTIF(ตั้งค่า!$C$7:$C$31,C157)&gt;0,"รายจ่าย","ไม่พบหมวดหมู่")))</f>
        <v/>
      </c>
      <c r="E157" s="12"/>
      <c r="F157" s="14"/>
      <c r="G157" s="14"/>
      <c r="H157" s="21" t="n">
        <f aca="false">IF(OR(E157="",D157&lt;&gt;"รายรับ"),0,E157)</f>
        <v>0</v>
      </c>
      <c r="I157" s="21" t="n">
        <f aca="false">IF(OR(E157="",D157&lt;&gt;"รายจ่าย"),0,E157)</f>
        <v>0</v>
      </c>
      <c r="J157" s="21" t="str">
        <f aca="false">IF(E157="","",ตั้งค่า!$B$4+SUM($H$5:H157)-SUM($I$5:I157))</f>
        <v/>
      </c>
      <c r="K157" s="22" t="str">
        <f aca="false">IF(A157="","",MONTH(A157))</f>
        <v/>
      </c>
      <c r="L157" s="22" t="str">
        <f aca="false">IF(A157="","",YEAR(A157))</f>
        <v/>
      </c>
    </row>
    <row r="158" customFormat="false" ht="15" hidden="false" customHeight="false" outlineLevel="0" collapsed="false">
      <c r="A158" s="19"/>
      <c r="B158" s="14"/>
      <c r="C158" s="14"/>
      <c r="D158" s="20" t="str">
        <f aca="false">IF(C158="","",IF(COUNTIF(ตั้งค่า!$A$7:$A$18,C158)&gt;0,"รายรับ",IF(COUNTIF(ตั้งค่า!$C$7:$C$31,C158)&gt;0,"รายจ่าย","ไม่พบหมวดหมู่")))</f>
        <v/>
      </c>
      <c r="E158" s="12"/>
      <c r="F158" s="14"/>
      <c r="G158" s="14"/>
      <c r="H158" s="21" t="n">
        <f aca="false">IF(OR(E158="",D158&lt;&gt;"รายรับ"),0,E158)</f>
        <v>0</v>
      </c>
      <c r="I158" s="21" t="n">
        <f aca="false">IF(OR(E158="",D158&lt;&gt;"รายจ่าย"),0,E158)</f>
        <v>0</v>
      </c>
      <c r="J158" s="21" t="str">
        <f aca="false">IF(E158="","",ตั้งค่า!$B$4+SUM($H$5:H158)-SUM($I$5:I158))</f>
        <v/>
      </c>
      <c r="K158" s="22" t="str">
        <f aca="false">IF(A158="","",MONTH(A158))</f>
        <v/>
      </c>
      <c r="L158" s="22" t="str">
        <f aca="false">IF(A158="","",YEAR(A158))</f>
        <v/>
      </c>
    </row>
    <row r="159" customFormat="false" ht="15" hidden="false" customHeight="false" outlineLevel="0" collapsed="false">
      <c r="A159" s="19"/>
      <c r="B159" s="14"/>
      <c r="C159" s="14"/>
      <c r="D159" s="20" t="str">
        <f aca="false">IF(C159="","",IF(COUNTIF(ตั้งค่า!$A$7:$A$18,C159)&gt;0,"รายรับ",IF(COUNTIF(ตั้งค่า!$C$7:$C$31,C159)&gt;0,"รายจ่าย","ไม่พบหมวดหมู่")))</f>
        <v/>
      </c>
      <c r="E159" s="12"/>
      <c r="F159" s="14"/>
      <c r="G159" s="14"/>
      <c r="H159" s="21" t="n">
        <f aca="false">IF(OR(E159="",D159&lt;&gt;"รายรับ"),0,E159)</f>
        <v>0</v>
      </c>
      <c r="I159" s="21" t="n">
        <f aca="false">IF(OR(E159="",D159&lt;&gt;"รายจ่าย"),0,E159)</f>
        <v>0</v>
      </c>
      <c r="J159" s="21" t="str">
        <f aca="false">IF(E159="","",ตั้งค่า!$B$4+SUM($H$5:H159)-SUM($I$5:I159))</f>
        <v/>
      </c>
      <c r="K159" s="22" t="str">
        <f aca="false">IF(A159="","",MONTH(A159))</f>
        <v/>
      </c>
      <c r="L159" s="22" t="str">
        <f aca="false">IF(A159="","",YEAR(A159))</f>
        <v/>
      </c>
    </row>
    <row r="160" customFormat="false" ht="15" hidden="false" customHeight="false" outlineLevel="0" collapsed="false">
      <c r="A160" s="19"/>
      <c r="B160" s="14"/>
      <c r="C160" s="14"/>
      <c r="D160" s="20" t="str">
        <f aca="false">IF(C160="","",IF(COUNTIF(ตั้งค่า!$A$7:$A$18,C160)&gt;0,"รายรับ",IF(COUNTIF(ตั้งค่า!$C$7:$C$31,C160)&gt;0,"รายจ่าย","ไม่พบหมวดหมู่")))</f>
        <v/>
      </c>
      <c r="E160" s="12"/>
      <c r="F160" s="14"/>
      <c r="G160" s="14"/>
      <c r="H160" s="21" t="n">
        <f aca="false">IF(OR(E160="",D160&lt;&gt;"รายรับ"),0,E160)</f>
        <v>0</v>
      </c>
      <c r="I160" s="21" t="n">
        <f aca="false">IF(OR(E160="",D160&lt;&gt;"รายจ่าย"),0,E160)</f>
        <v>0</v>
      </c>
      <c r="J160" s="21" t="str">
        <f aca="false">IF(E160="","",ตั้งค่า!$B$4+SUM($H$5:H160)-SUM($I$5:I160))</f>
        <v/>
      </c>
      <c r="K160" s="22" t="str">
        <f aca="false">IF(A160="","",MONTH(A160))</f>
        <v/>
      </c>
      <c r="L160" s="22" t="str">
        <f aca="false">IF(A160="","",YEAR(A160))</f>
        <v/>
      </c>
    </row>
    <row r="161" customFormat="false" ht="15" hidden="false" customHeight="false" outlineLevel="0" collapsed="false">
      <c r="A161" s="19"/>
      <c r="B161" s="14"/>
      <c r="C161" s="14"/>
      <c r="D161" s="20" t="str">
        <f aca="false">IF(C161="","",IF(COUNTIF(ตั้งค่า!$A$7:$A$18,C161)&gt;0,"รายรับ",IF(COUNTIF(ตั้งค่า!$C$7:$C$31,C161)&gt;0,"รายจ่าย","ไม่พบหมวดหมู่")))</f>
        <v/>
      </c>
      <c r="E161" s="12"/>
      <c r="F161" s="14"/>
      <c r="G161" s="14"/>
      <c r="H161" s="21" t="n">
        <f aca="false">IF(OR(E161="",D161&lt;&gt;"รายรับ"),0,E161)</f>
        <v>0</v>
      </c>
      <c r="I161" s="21" t="n">
        <f aca="false">IF(OR(E161="",D161&lt;&gt;"รายจ่าย"),0,E161)</f>
        <v>0</v>
      </c>
      <c r="J161" s="21" t="str">
        <f aca="false">IF(E161="","",ตั้งค่า!$B$4+SUM($H$5:H161)-SUM($I$5:I161))</f>
        <v/>
      </c>
      <c r="K161" s="22" t="str">
        <f aca="false">IF(A161="","",MONTH(A161))</f>
        <v/>
      </c>
      <c r="L161" s="22" t="str">
        <f aca="false">IF(A161="","",YEAR(A161))</f>
        <v/>
      </c>
    </row>
    <row r="162" customFormat="false" ht="15" hidden="false" customHeight="false" outlineLevel="0" collapsed="false">
      <c r="A162" s="19"/>
      <c r="B162" s="14"/>
      <c r="C162" s="14"/>
      <c r="D162" s="20" t="str">
        <f aca="false">IF(C162="","",IF(COUNTIF(ตั้งค่า!$A$7:$A$18,C162)&gt;0,"รายรับ",IF(COUNTIF(ตั้งค่า!$C$7:$C$31,C162)&gt;0,"รายจ่าย","ไม่พบหมวดหมู่")))</f>
        <v/>
      </c>
      <c r="E162" s="12"/>
      <c r="F162" s="14"/>
      <c r="G162" s="14"/>
      <c r="H162" s="21" t="n">
        <f aca="false">IF(OR(E162="",D162&lt;&gt;"รายรับ"),0,E162)</f>
        <v>0</v>
      </c>
      <c r="I162" s="21" t="n">
        <f aca="false">IF(OR(E162="",D162&lt;&gt;"รายจ่าย"),0,E162)</f>
        <v>0</v>
      </c>
      <c r="J162" s="21" t="str">
        <f aca="false">IF(E162="","",ตั้งค่า!$B$4+SUM($H$5:H162)-SUM($I$5:I162))</f>
        <v/>
      </c>
      <c r="K162" s="22" t="str">
        <f aca="false">IF(A162="","",MONTH(A162))</f>
        <v/>
      </c>
      <c r="L162" s="22" t="str">
        <f aca="false">IF(A162="","",YEAR(A162))</f>
        <v/>
      </c>
    </row>
    <row r="163" customFormat="false" ht="15" hidden="false" customHeight="false" outlineLevel="0" collapsed="false">
      <c r="A163" s="19"/>
      <c r="B163" s="14"/>
      <c r="C163" s="14"/>
      <c r="D163" s="20" t="str">
        <f aca="false">IF(C163="","",IF(COUNTIF(ตั้งค่า!$A$7:$A$18,C163)&gt;0,"รายรับ",IF(COUNTIF(ตั้งค่า!$C$7:$C$31,C163)&gt;0,"รายจ่าย","ไม่พบหมวดหมู่")))</f>
        <v/>
      </c>
      <c r="E163" s="12"/>
      <c r="F163" s="14"/>
      <c r="G163" s="14"/>
      <c r="H163" s="21" t="n">
        <f aca="false">IF(OR(E163="",D163&lt;&gt;"รายรับ"),0,E163)</f>
        <v>0</v>
      </c>
      <c r="I163" s="21" t="n">
        <f aca="false">IF(OR(E163="",D163&lt;&gt;"รายจ่าย"),0,E163)</f>
        <v>0</v>
      </c>
      <c r="J163" s="21" t="str">
        <f aca="false">IF(E163="","",ตั้งค่า!$B$4+SUM($H$5:H163)-SUM($I$5:I163))</f>
        <v/>
      </c>
      <c r="K163" s="22" t="str">
        <f aca="false">IF(A163="","",MONTH(A163))</f>
        <v/>
      </c>
      <c r="L163" s="22" t="str">
        <f aca="false">IF(A163="","",YEAR(A163))</f>
        <v/>
      </c>
    </row>
    <row r="164" customFormat="false" ht="15" hidden="false" customHeight="false" outlineLevel="0" collapsed="false">
      <c r="A164" s="19"/>
      <c r="B164" s="14"/>
      <c r="C164" s="14"/>
      <c r="D164" s="20" t="str">
        <f aca="false">IF(C164="","",IF(COUNTIF(ตั้งค่า!$A$7:$A$18,C164)&gt;0,"รายรับ",IF(COUNTIF(ตั้งค่า!$C$7:$C$31,C164)&gt;0,"รายจ่าย","ไม่พบหมวดหมู่")))</f>
        <v/>
      </c>
      <c r="E164" s="12"/>
      <c r="F164" s="14"/>
      <c r="G164" s="14"/>
      <c r="H164" s="21" t="n">
        <f aca="false">IF(OR(E164="",D164&lt;&gt;"รายรับ"),0,E164)</f>
        <v>0</v>
      </c>
      <c r="I164" s="21" t="n">
        <f aca="false">IF(OR(E164="",D164&lt;&gt;"รายจ่าย"),0,E164)</f>
        <v>0</v>
      </c>
      <c r="J164" s="21" t="str">
        <f aca="false">IF(E164="","",ตั้งค่า!$B$4+SUM($H$5:H164)-SUM($I$5:I164))</f>
        <v/>
      </c>
      <c r="K164" s="22" t="str">
        <f aca="false">IF(A164="","",MONTH(A164))</f>
        <v/>
      </c>
      <c r="L164" s="22" t="str">
        <f aca="false">IF(A164="","",YEAR(A164))</f>
        <v/>
      </c>
    </row>
    <row r="165" customFormat="false" ht="15" hidden="false" customHeight="false" outlineLevel="0" collapsed="false">
      <c r="A165" s="19"/>
      <c r="B165" s="14"/>
      <c r="C165" s="14"/>
      <c r="D165" s="20" t="str">
        <f aca="false">IF(C165="","",IF(COUNTIF(ตั้งค่า!$A$7:$A$18,C165)&gt;0,"รายรับ",IF(COUNTIF(ตั้งค่า!$C$7:$C$31,C165)&gt;0,"รายจ่าย","ไม่พบหมวดหมู่")))</f>
        <v/>
      </c>
      <c r="E165" s="12"/>
      <c r="F165" s="14"/>
      <c r="G165" s="14"/>
      <c r="H165" s="21" t="n">
        <f aca="false">IF(OR(E165="",D165&lt;&gt;"รายรับ"),0,E165)</f>
        <v>0</v>
      </c>
      <c r="I165" s="21" t="n">
        <f aca="false">IF(OR(E165="",D165&lt;&gt;"รายจ่าย"),0,E165)</f>
        <v>0</v>
      </c>
      <c r="J165" s="21" t="str">
        <f aca="false">IF(E165="","",ตั้งค่า!$B$4+SUM($H$5:H165)-SUM($I$5:I165))</f>
        <v/>
      </c>
      <c r="K165" s="22" t="str">
        <f aca="false">IF(A165="","",MONTH(A165))</f>
        <v/>
      </c>
      <c r="L165" s="22" t="str">
        <f aca="false">IF(A165="","",YEAR(A165))</f>
        <v/>
      </c>
    </row>
    <row r="166" customFormat="false" ht="15" hidden="false" customHeight="false" outlineLevel="0" collapsed="false">
      <c r="A166" s="19"/>
      <c r="B166" s="14"/>
      <c r="C166" s="14"/>
      <c r="D166" s="20" t="str">
        <f aca="false">IF(C166="","",IF(COUNTIF(ตั้งค่า!$A$7:$A$18,C166)&gt;0,"รายรับ",IF(COUNTIF(ตั้งค่า!$C$7:$C$31,C166)&gt;0,"รายจ่าย","ไม่พบหมวดหมู่")))</f>
        <v/>
      </c>
      <c r="E166" s="12"/>
      <c r="F166" s="14"/>
      <c r="G166" s="14"/>
      <c r="H166" s="21" t="n">
        <f aca="false">IF(OR(E166="",D166&lt;&gt;"รายรับ"),0,E166)</f>
        <v>0</v>
      </c>
      <c r="I166" s="21" t="n">
        <f aca="false">IF(OR(E166="",D166&lt;&gt;"รายจ่าย"),0,E166)</f>
        <v>0</v>
      </c>
      <c r="J166" s="21" t="str">
        <f aca="false">IF(E166="","",ตั้งค่า!$B$4+SUM($H$5:H166)-SUM($I$5:I166))</f>
        <v/>
      </c>
      <c r="K166" s="22" t="str">
        <f aca="false">IF(A166="","",MONTH(A166))</f>
        <v/>
      </c>
      <c r="L166" s="22" t="str">
        <f aca="false">IF(A166="","",YEAR(A166))</f>
        <v/>
      </c>
    </row>
    <row r="167" customFormat="false" ht="15" hidden="false" customHeight="false" outlineLevel="0" collapsed="false">
      <c r="A167" s="19"/>
      <c r="B167" s="14"/>
      <c r="C167" s="14"/>
      <c r="D167" s="20" t="str">
        <f aca="false">IF(C167="","",IF(COUNTIF(ตั้งค่า!$A$7:$A$18,C167)&gt;0,"รายรับ",IF(COUNTIF(ตั้งค่า!$C$7:$C$31,C167)&gt;0,"รายจ่าย","ไม่พบหมวดหมู่")))</f>
        <v/>
      </c>
      <c r="E167" s="12"/>
      <c r="F167" s="14"/>
      <c r="G167" s="14"/>
      <c r="H167" s="21" t="n">
        <f aca="false">IF(OR(E167="",D167&lt;&gt;"รายรับ"),0,E167)</f>
        <v>0</v>
      </c>
      <c r="I167" s="21" t="n">
        <f aca="false">IF(OR(E167="",D167&lt;&gt;"รายจ่าย"),0,E167)</f>
        <v>0</v>
      </c>
      <c r="J167" s="21" t="str">
        <f aca="false">IF(E167="","",ตั้งค่า!$B$4+SUM($H$5:H167)-SUM($I$5:I167))</f>
        <v/>
      </c>
      <c r="K167" s="22" t="str">
        <f aca="false">IF(A167="","",MONTH(A167))</f>
        <v/>
      </c>
      <c r="L167" s="22" t="str">
        <f aca="false">IF(A167="","",YEAR(A167))</f>
        <v/>
      </c>
    </row>
    <row r="168" customFormat="false" ht="15" hidden="false" customHeight="false" outlineLevel="0" collapsed="false">
      <c r="A168" s="19"/>
      <c r="B168" s="14"/>
      <c r="C168" s="14"/>
      <c r="D168" s="20" t="str">
        <f aca="false">IF(C168="","",IF(COUNTIF(ตั้งค่า!$A$7:$A$18,C168)&gt;0,"รายรับ",IF(COUNTIF(ตั้งค่า!$C$7:$C$31,C168)&gt;0,"รายจ่าย","ไม่พบหมวดหมู่")))</f>
        <v/>
      </c>
      <c r="E168" s="12"/>
      <c r="F168" s="14"/>
      <c r="G168" s="14"/>
      <c r="H168" s="21" t="n">
        <f aca="false">IF(OR(E168="",D168&lt;&gt;"รายรับ"),0,E168)</f>
        <v>0</v>
      </c>
      <c r="I168" s="21" t="n">
        <f aca="false">IF(OR(E168="",D168&lt;&gt;"รายจ่าย"),0,E168)</f>
        <v>0</v>
      </c>
      <c r="J168" s="21" t="str">
        <f aca="false">IF(E168="","",ตั้งค่า!$B$4+SUM($H$5:H168)-SUM($I$5:I168))</f>
        <v/>
      </c>
      <c r="K168" s="22" t="str">
        <f aca="false">IF(A168="","",MONTH(A168))</f>
        <v/>
      </c>
      <c r="L168" s="22" t="str">
        <f aca="false">IF(A168="","",YEAR(A168))</f>
        <v/>
      </c>
    </row>
    <row r="169" customFormat="false" ht="15" hidden="false" customHeight="false" outlineLevel="0" collapsed="false">
      <c r="A169" s="19"/>
      <c r="B169" s="14"/>
      <c r="C169" s="14"/>
      <c r="D169" s="20" t="str">
        <f aca="false">IF(C169="","",IF(COUNTIF(ตั้งค่า!$A$7:$A$18,C169)&gt;0,"รายรับ",IF(COUNTIF(ตั้งค่า!$C$7:$C$31,C169)&gt;0,"รายจ่าย","ไม่พบหมวดหมู่")))</f>
        <v/>
      </c>
      <c r="E169" s="12"/>
      <c r="F169" s="14"/>
      <c r="G169" s="14"/>
      <c r="H169" s="21" t="n">
        <f aca="false">IF(OR(E169="",D169&lt;&gt;"รายรับ"),0,E169)</f>
        <v>0</v>
      </c>
      <c r="I169" s="21" t="n">
        <f aca="false">IF(OR(E169="",D169&lt;&gt;"รายจ่าย"),0,E169)</f>
        <v>0</v>
      </c>
      <c r="J169" s="21" t="str">
        <f aca="false">IF(E169="","",ตั้งค่า!$B$4+SUM($H$5:H169)-SUM($I$5:I169))</f>
        <v/>
      </c>
      <c r="K169" s="22" t="str">
        <f aca="false">IF(A169="","",MONTH(A169))</f>
        <v/>
      </c>
      <c r="L169" s="22" t="str">
        <f aca="false">IF(A169="","",YEAR(A169))</f>
        <v/>
      </c>
    </row>
    <row r="170" customFormat="false" ht="15" hidden="false" customHeight="false" outlineLevel="0" collapsed="false">
      <c r="A170" s="19"/>
      <c r="B170" s="14"/>
      <c r="C170" s="14"/>
      <c r="D170" s="20" t="str">
        <f aca="false">IF(C170="","",IF(COUNTIF(ตั้งค่า!$A$7:$A$18,C170)&gt;0,"รายรับ",IF(COUNTIF(ตั้งค่า!$C$7:$C$31,C170)&gt;0,"รายจ่าย","ไม่พบหมวดหมู่")))</f>
        <v/>
      </c>
      <c r="E170" s="12"/>
      <c r="F170" s="14"/>
      <c r="G170" s="14"/>
      <c r="H170" s="21" t="n">
        <f aca="false">IF(OR(E170="",D170&lt;&gt;"รายรับ"),0,E170)</f>
        <v>0</v>
      </c>
      <c r="I170" s="21" t="n">
        <f aca="false">IF(OR(E170="",D170&lt;&gt;"รายจ่าย"),0,E170)</f>
        <v>0</v>
      </c>
      <c r="J170" s="21" t="str">
        <f aca="false">IF(E170="","",ตั้งค่า!$B$4+SUM($H$5:H170)-SUM($I$5:I170))</f>
        <v/>
      </c>
      <c r="K170" s="22" t="str">
        <f aca="false">IF(A170="","",MONTH(A170))</f>
        <v/>
      </c>
      <c r="L170" s="22" t="str">
        <f aca="false">IF(A170="","",YEAR(A170))</f>
        <v/>
      </c>
    </row>
    <row r="171" customFormat="false" ht="15" hidden="false" customHeight="false" outlineLevel="0" collapsed="false">
      <c r="A171" s="19"/>
      <c r="B171" s="14"/>
      <c r="C171" s="14"/>
      <c r="D171" s="20" t="str">
        <f aca="false">IF(C171="","",IF(COUNTIF(ตั้งค่า!$A$7:$A$18,C171)&gt;0,"รายรับ",IF(COUNTIF(ตั้งค่า!$C$7:$C$31,C171)&gt;0,"รายจ่าย","ไม่พบหมวดหมู่")))</f>
        <v/>
      </c>
      <c r="E171" s="12"/>
      <c r="F171" s="14"/>
      <c r="G171" s="14"/>
      <c r="H171" s="21" t="n">
        <f aca="false">IF(OR(E171="",D171&lt;&gt;"รายรับ"),0,E171)</f>
        <v>0</v>
      </c>
      <c r="I171" s="21" t="n">
        <f aca="false">IF(OR(E171="",D171&lt;&gt;"รายจ่าย"),0,E171)</f>
        <v>0</v>
      </c>
      <c r="J171" s="21" t="str">
        <f aca="false">IF(E171="","",ตั้งค่า!$B$4+SUM($H$5:H171)-SUM($I$5:I171))</f>
        <v/>
      </c>
      <c r="K171" s="22" t="str">
        <f aca="false">IF(A171="","",MONTH(A171))</f>
        <v/>
      </c>
      <c r="L171" s="22" t="str">
        <f aca="false">IF(A171="","",YEAR(A171))</f>
        <v/>
      </c>
    </row>
    <row r="172" customFormat="false" ht="15" hidden="false" customHeight="false" outlineLevel="0" collapsed="false">
      <c r="A172" s="19"/>
      <c r="B172" s="14"/>
      <c r="C172" s="14"/>
      <c r="D172" s="20" t="str">
        <f aca="false">IF(C172="","",IF(COUNTIF(ตั้งค่า!$A$7:$A$18,C172)&gt;0,"รายรับ",IF(COUNTIF(ตั้งค่า!$C$7:$C$31,C172)&gt;0,"รายจ่าย","ไม่พบหมวดหมู่")))</f>
        <v/>
      </c>
      <c r="E172" s="12"/>
      <c r="F172" s="14"/>
      <c r="G172" s="14"/>
      <c r="H172" s="21" t="n">
        <f aca="false">IF(OR(E172="",D172&lt;&gt;"รายรับ"),0,E172)</f>
        <v>0</v>
      </c>
      <c r="I172" s="21" t="n">
        <f aca="false">IF(OR(E172="",D172&lt;&gt;"รายจ่าย"),0,E172)</f>
        <v>0</v>
      </c>
      <c r="J172" s="21" t="str">
        <f aca="false">IF(E172="","",ตั้งค่า!$B$4+SUM($H$5:H172)-SUM($I$5:I172))</f>
        <v/>
      </c>
      <c r="K172" s="22" t="str">
        <f aca="false">IF(A172="","",MONTH(A172))</f>
        <v/>
      </c>
      <c r="L172" s="22" t="str">
        <f aca="false">IF(A172="","",YEAR(A172))</f>
        <v/>
      </c>
    </row>
    <row r="173" customFormat="false" ht="15" hidden="false" customHeight="false" outlineLevel="0" collapsed="false">
      <c r="A173" s="19"/>
      <c r="B173" s="14"/>
      <c r="C173" s="14"/>
      <c r="D173" s="20" t="str">
        <f aca="false">IF(C173="","",IF(COUNTIF(ตั้งค่า!$A$7:$A$18,C173)&gt;0,"รายรับ",IF(COUNTIF(ตั้งค่า!$C$7:$C$31,C173)&gt;0,"รายจ่าย","ไม่พบหมวดหมู่")))</f>
        <v/>
      </c>
      <c r="E173" s="12"/>
      <c r="F173" s="14"/>
      <c r="G173" s="14"/>
      <c r="H173" s="21" t="n">
        <f aca="false">IF(OR(E173="",D173&lt;&gt;"รายรับ"),0,E173)</f>
        <v>0</v>
      </c>
      <c r="I173" s="21" t="n">
        <f aca="false">IF(OR(E173="",D173&lt;&gt;"รายจ่าย"),0,E173)</f>
        <v>0</v>
      </c>
      <c r="J173" s="21" t="str">
        <f aca="false">IF(E173="","",ตั้งค่า!$B$4+SUM($H$5:H173)-SUM($I$5:I173))</f>
        <v/>
      </c>
      <c r="K173" s="22" t="str">
        <f aca="false">IF(A173="","",MONTH(A173))</f>
        <v/>
      </c>
      <c r="L173" s="22" t="str">
        <f aca="false">IF(A173="","",YEAR(A173))</f>
        <v/>
      </c>
    </row>
    <row r="174" customFormat="false" ht="15" hidden="false" customHeight="false" outlineLevel="0" collapsed="false">
      <c r="A174" s="19"/>
      <c r="B174" s="14"/>
      <c r="C174" s="14"/>
      <c r="D174" s="20" t="str">
        <f aca="false">IF(C174="","",IF(COUNTIF(ตั้งค่า!$A$7:$A$18,C174)&gt;0,"รายรับ",IF(COUNTIF(ตั้งค่า!$C$7:$C$31,C174)&gt;0,"รายจ่าย","ไม่พบหมวดหมู่")))</f>
        <v/>
      </c>
      <c r="E174" s="12"/>
      <c r="F174" s="14"/>
      <c r="G174" s="14"/>
      <c r="H174" s="21" t="n">
        <f aca="false">IF(OR(E174="",D174&lt;&gt;"รายรับ"),0,E174)</f>
        <v>0</v>
      </c>
      <c r="I174" s="21" t="n">
        <f aca="false">IF(OR(E174="",D174&lt;&gt;"รายจ่าย"),0,E174)</f>
        <v>0</v>
      </c>
      <c r="J174" s="21" t="str">
        <f aca="false">IF(E174="","",ตั้งค่า!$B$4+SUM($H$5:H174)-SUM($I$5:I174))</f>
        <v/>
      </c>
      <c r="K174" s="22" t="str">
        <f aca="false">IF(A174="","",MONTH(A174))</f>
        <v/>
      </c>
      <c r="L174" s="22" t="str">
        <f aca="false">IF(A174="","",YEAR(A174))</f>
        <v/>
      </c>
    </row>
    <row r="175" customFormat="false" ht="15" hidden="false" customHeight="false" outlineLevel="0" collapsed="false">
      <c r="A175" s="19"/>
      <c r="B175" s="14"/>
      <c r="C175" s="14"/>
      <c r="D175" s="20" t="str">
        <f aca="false">IF(C175="","",IF(COUNTIF(ตั้งค่า!$A$7:$A$18,C175)&gt;0,"รายรับ",IF(COUNTIF(ตั้งค่า!$C$7:$C$31,C175)&gt;0,"รายจ่าย","ไม่พบหมวดหมู่")))</f>
        <v/>
      </c>
      <c r="E175" s="12"/>
      <c r="F175" s="14"/>
      <c r="G175" s="14"/>
      <c r="H175" s="21" t="n">
        <f aca="false">IF(OR(E175="",D175&lt;&gt;"รายรับ"),0,E175)</f>
        <v>0</v>
      </c>
      <c r="I175" s="21" t="n">
        <f aca="false">IF(OR(E175="",D175&lt;&gt;"รายจ่าย"),0,E175)</f>
        <v>0</v>
      </c>
      <c r="J175" s="21" t="str">
        <f aca="false">IF(E175="","",ตั้งค่า!$B$4+SUM($H$5:H175)-SUM($I$5:I175))</f>
        <v/>
      </c>
      <c r="K175" s="22" t="str">
        <f aca="false">IF(A175="","",MONTH(A175))</f>
        <v/>
      </c>
      <c r="L175" s="22" t="str">
        <f aca="false">IF(A175="","",YEAR(A175))</f>
        <v/>
      </c>
    </row>
    <row r="176" customFormat="false" ht="15" hidden="false" customHeight="false" outlineLevel="0" collapsed="false">
      <c r="A176" s="19"/>
      <c r="B176" s="14"/>
      <c r="C176" s="14"/>
      <c r="D176" s="20" t="str">
        <f aca="false">IF(C176="","",IF(COUNTIF(ตั้งค่า!$A$7:$A$18,C176)&gt;0,"รายรับ",IF(COUNTIF(ตั้งค่า!$C$7:$C$31,C176)&gt;0,"รายจ่าย","ไม่พบหมวดหมู่")))</f>
        <v/>
      </c>
      <c r="E176" s="12"/>
      <c r="F176" s="14"/>
      <c r="G176" s="14"/>
      <c r="H176" s="21" t="n">
        <f aca="false">IF(OR(E176="",D176&lt;&gt;"รายรับ"),0,E176)</f>
        <v>0</v>
      </c>
      <c r="I176" s="21" t="n">
        <f aca="false">IF(OR(E176="",D176&lt;&gt;"รายจ่าย"),0,E176)</f>
        <v>0</v>
      </c>
      <c r="J176" s="21" t="str">
        <f aca="false">IF(E176="","",ตั้งค่า!$B$4+SUM($H$5:H176)-SUM($I$5:I176))</f>
        <v/>
      </c>
      <c r="K176" s="22" t="str">
        <f aca="false">IF(A176="","",MONTH(A176))</f>
        <v/>
      </c>
      <c r="L176" s="22" t="str">
        <f aca="false">IF(A176="","",YEAR(A176))</f>
        <v/>
      </c>
    </row>
    <row r="177" customFormat="false" ht="15" hidden="false" customHeight="false" outlineLevel="0" collapsed="false">
      <c r="A177" s="19"/>
      <c r="B177" s="14"/>
      <c r="C177" s="14"/>
      <c r="D177" s="20" t="str">
        <f aca="false">IF(C177="","",IF(COUNTIF(ตั้งค่า!$A$7:$A$18,C177)&gt;0,"รายรับ",IF(COUNTIF(ตั้งค่า!$C$7:$C$31,C177)&gt;0,"รายจ่าย","ไม่พบหมวดหมู่")))</f>
        <v/>
      </c>
      <c r="E177" s="12"/>
      <c r="F177" s="14"/>
      <c r="G177" s="14"/>
      <c r="H177" s="21" t="n">
        <f aca="false">IF(OR(E177="",D177&lt;&gt;"รายรับ"),0,E177)</f>
        <v>0</v>
      </c>
      <c r="I177" s="21" t="n">
        <f aca="false">IF(OR(E177="",D177&lt;&gt;"รายจ่าย"),0,E177)</f>
        <v>0</v>
      </c>
      <c r="J177" s="21" t="str">
        <f aca="false">IF(E177="","",ตั้งค่า!$B$4+SUM($H$5:H177)-SUM($I$5:I177))</f>
        <v/>
      </c>
      <c r="K177" s="22" t="str">
        <f aca="false">IF(A177="","",MONTH(A177))</f>
        <v/>
      </c>
      <c r="L177" s="22" t="str">
        <f aca="false">IF(A177="","",YEAR(A177))</f>
        <v/>
      </c>
    </row>
    <row r="178" customFormat="false" ht="15" hidden="false" customHeight="false" outlineLevel="0" collapsed="false">
      <c r="A178" s="19"/>
      <c r="B178" s="14"/>
      <c r="C178" s="14"/>
      <c r="D178" s="20" t="str">
        <f aca="false">IF(C178="","",IF(COUNTIF(ตั้งค่า!$A$7:$A$18,C178)&gt;0,"รายรับ",IF(COUNTIF(ตั้งค่า!$C$7:$C$31,C178)&gt;0,"รายจ่าย","ไม่พบหมวดหมู่")))</f>
        <v/>
      </c>
      <c r="E178" s="12"/>
      <c r="F178" s="14"/>
      <c r="G178" s="14"/>
      <c r="H178" s="21" t="n">
        <f aca="false">IF(OR(E178="",D178&lt;&gt;"รายรับ"),0,E178)</f>
        <v>0</v>
      </c>
      <c r="I178" s="21" t="n">
        <f aca="false">IF(OR(E178="",D178&lt;&gt;"รายจ่าย"),0,E178)</f>
        <v>0</v>
      </c>
      <c r="J178" s="21" t="str">
        <f aca="false">IF(E178="","",ตั้งค่า!$B$4+SUM($H$5:H178)-SUM($I$5:I178))</f>
        <v/>
      </c>
      <c r="K178" s="22" t="str">
        <f aca="false">IF(A178="","",MONTH(A178))</f>
        <v/>
      </c>
      <c r="L178" s="22" t="str">
        <f aca="false">IF(A178="","",YEAR(A178))</f>
        <v/>
      </c>
    </row>
    <row r="179" customFormat="false" ht="15" hidden="false" customHeight="false" outlineLevel="0" collapsed="false">
      <c r="A179" s="19"/>
      <c r="B179" s="14"/>
      <c r="C179" s="14"/>
      <c r="D179" s="20" t="str">
        <f aca="false">IF(C179="","",IF(COUNTIF(ตั้งค่า!$A$7:$A$18,C179)&gt;0,"รายรับ",IF(COUNTIF(ตั้งค่า!$C$7:$C$31,C179)&gt;0,"รายจ่าย","ไม่พบหมวดหมู่")))</f>
        <v/>
      </c>
      <c r="E179" s="12"/>
      <c r="F179" s="14"/>
      <c r="G179" s="14"/>
      <c r="H179" s="21" t="n">
        <f aca="false">IF(OR(E179="",D179&lt;&gt;"รายรับ"),0,E179)</f>
        <v>0</v>
      </c>
      <c r="I179" s="21" t="n">
        <f aca="false">IF(OR(E179="",D179&lt;&gt;"รายจ่าย"),0,E179)</f>
        <v>0</v>
      </c>
      <c r="J179" s="21" t="str">
        <f aca="false">IF(E179="","",ตั้งค่า!$B$4+SUM($H$5:H179)-SUM($I$5:I179))</f>
        <v/>
      </c>
      <c r="K179" s="22" t="str">
        <f aca="false">IF(A179="","",MONTH(A179))</f>
        <v/>
      </c>
      <c r="L179" s="22" t="str">
        <f aca="false">IF(A179="","",YEAR(A179))</f>
        <v/>
      </c>
    </row>
    <row r="180" customFormat="false" ht="15" hidden="false" customHeight="false" outlineLevel="0" collapsed="false">
      <c r="A180" s="19"/>
      <c r="B180" s="14"/>
      <c r="C180" s="14"/>
      <c r="D180" s="20" t="str">
        <f aca="false">IF(C180="","",IF(COUNTIF(ตั้งค่า!$A$7:$A$18,C180)&gt;0,"รายรับ",IF(COUNTIF(ตั้งค่า!$C$7:$C$31,C180)&gt;0,"รายจ่าย","ไม่พบหมวดหมู่")))</f>
        <v/>
      </c>
      <c r="E180" s="12"/>
      <c r="F180" s="14"/>
      <c r="G180" s="14"/>
      <c r="H180" s="21" t="n">
        <f aca="false">IF(OR(E180="",D180&lt;&gt;"รายรับ"),0,E180)</f>
        <v>0</v>
      </c>
      <c r="I180" s="21" t="n">
        <f aca="false">IF(OR(E180="",D180&lt;&gt;"รายจ่าย"),0,E180)</f>
        <v>0</v>
      </c>
      <c r="J180" s="21" t="str">
        <f aca="false">IF(E180="","",ตั้งค่า!$B$4+SUM($H$5:H180)-SUM($I$5:I180))</f>
        <v/>
      </c>
      <c r="K180" s="22" t="str">
        <f aca="false">IF(A180="","",MONTH(A180))</f>
        <v/>
      </c>
      <c r="L180" s="22" t="str">
        <f aca="false">IF(A180="","",YEAR(A180))</f>
        <v/>
      </c>
    </row>
    <row r="181" customFormat="false" ht="15" hidden="false" customHeight="false" outlineLevel="0" collapsed="false">
      <c r="A181" s="19"/>
      <c r="B181" s="14"/>
      <c r="C181" s="14"/>
      <c r="D181" s="20" t="str">
        <f aca="false">IF(C181="","",IF(COUNTIF(ตั้งค่า!$A$7:$A$18,C181)&gt;0,"รายรับ",IF(COUNTIF(ตั้งค่า!$C$7:$C$31,C181)&gt;0,"รายจ่าย","ไม่พบหมวดหมู่")))</f>
        <v/>
      </c>
      <c r="E181" s="12"/>
      <c r="F181" s="14"/>
      <c r="G181" s="14"/>
      <c r="H181" s="21" t="n">
        <f aca="false">IF(OR(E181="",D181&lt;&gt;"รายรับ"),0,E181)</f>
        <v>0</v>
      </c>
      <c r="I181" s="21" t="n">
        <f aca="false">IF(OR(E181="",D181&lt;&gt;"รายจ่าย"),0,E181)</f>
        <v>0</v>
      </c>
      <c r="J181" s="21" t="str">
        <f aca="false">IF(E181="","",ตั้งค่า!$B$4+SUM($H$5:H181)-SUM($I$5:I181))</f>
        <v/>
      </c>
      <c r="K181" s="22" t="str">
        <f aca="false">IF(A181="","",MONTH(A181))</f>
        <v/>
      </c>
      <c r="L181" s="22" t="str">
        <f aca="false">IF(A181="","",YEAR(A181))</f>
        <v/>
      </c>
    </row>
    <row r="182" customFormat="false" ht="15" hidden="false" customHeight="false" outlineLevel="0" collapsed="false">
      <c r="A182" s="19"/>
      <c r="B182" s="14"/>
      <c r="C182" s="14"/>
      <c r="D182" s="20" t="str">
        <f aca="false">IF(C182="","",IF(COUNTIF(ตั้งค่า!$A$7:$A$18,C182)&gt;0,"รายรับ",IF(COUNTIF(ตั้งค่า!$C$7:$C$31,C182)&gt;0,"รายจ่าย","ไม่พบหมวดหมู่")))</f>
        <v/>
      </c>
      <c r="E182" s="12"/>
      <c r="F182" s="14"/>
      <c r="G182" s="14"/>
      <c r="H182" s="21" t="n">
        <f aca="false">IF(OR(E182="",D182&lt;&gt;"รายรับ"),0,E182)</f>
        <v>0</v>
      </c>
      <c r="I182" s="21" t="n">
        <f aca="false">IF(OR(E182="",D182&lt;&gt;"รายจ่าย"),0,E182)</f>
        <v>0</v>
      </c>
      <c r="J182" s="21" t="str">
        <f aca="false">IF(E182="","",ตั้งค่า!$B$4+SUM($H$5:H182)-SUM($I$5:I182))</f>
        <v/>
      </c>
      <c r="K182" s="22" t="str">
        <f aca="false">IF(A182="","",MONTH(A182))</f>
        <v/>
      </c>
      <c r="L182" s="22" t="str">
        <f aca="false">IF(A182="","",YEAR(A182))</f>
        <v/>
      </c>
    </row>
    <row r="183" customFormat="false" ht="15" hidden="false" customHeight="false" outlineLevel="0" collapsed="false">
      <c r="A183" s="19"/>
      <c r="B183" s="14"/>
      <c r="C183" s="14"/>
      <c r="D183" s="20" t="str">
        <f aca="false">IF(C183="","",IF(COUNTIF(ตั้งค่า!$A$7:$A$18,C183)&gt;0,"รายรับ",IF(COUNTIF(ตั้งค่า!$C$7:$C$31,C183)&gt;0,"รายจ่าย","ไม่พบหมวดหมู่")))</f>
        <v/>
      </c>
      <c r="E183" s="12"/>
      <c r="F183" s="14"/>
      <c r="G183" s="14"/>
      <c r="H183" s="21" t="n">
        <f aca="false">IF(OR(E183="",D183&lt;&gt;"รายรับ"),0,E183)</f>
        <v>0</v>
      </c>
      <c r="I183" s="21" t="n">
        <f aca="false">IF(OR(E183="",D183&lt;&gt;"รายจ่าย"),0,E183)</f>
        <v>0</v>
      </c>
      <c r="J183" s="21" t="str">
        <f aca="false">IF(E183="","",ตั้งค่า!$B$4+SUM($H$5:H183)-SUM($I$5:I183))</f>
        <v/>
      </c>
      <c r="K183" s="22" t="str">
        <f aca="false">IF(A183="","",MONTH(A183))</f>
        <v/>
      </c>
      <c r="L183" s="22" t="str">
        <f aca="false">IF(A183="","",YEAR(A183))</f>
        <v/>
      </c>
    </row>
    <row r="184" customFormat="false" ht="15" hidden="false" customHeight="false" outlineLevel="0" collapsed="false">
      <c r="A184" s="19"/>
      <c r="B184" s="14"/>
      <c r="C184" s="14"/>
      <c r="D184" s="20" t="str">
        <f aca="false">IF(C184="","",IF(COUNTIF(ตั้งค่า!$A$7:$A$18,C184)&gt;0,"รายรับ",IF(COUNTIF(ตั้งค่า!$C$7:$C$31,C184)&gt;0,"รายจ่าย","ไม่พบหมวดหมู่")))</f>
        <v/>
      </c>
      <c r="E184" s="12"/>
      <c r="F184" s="14"/>
      <c r="G184" s="14"/>
      <c r="H184" s="21" t="n">
        <f aca="false">IF(OR(E184="",D184&lt;&gt;"รายรับ"),0,E184)</f>
        <v>0</v>
      </c>
      <c r="I184" s="21" t="n">
        <f aca="false">IF(OR(E184="",D184&lt;&gt;"รายจ่าย"),0,E184)</f>
        <v>0</v>
      </c>
      <c r="J184" s="21" t="str">
        <f aca="false">IF(E184="","",ตั้งค่า!$B$4+SUM($H$5:H184)-SUM($I$5:I184))</f>
        <v/>
      </c>
      <c r="K184" s="22" t="str">
        <f aca="false">IF(A184="","",MONTH(A184))</f>
        <v/>
      </c>
      <c r="L184" s="22" t="str">
        <f aca="false">IF(A184="","",YEAR(A184))</f>
        <v/>
      </c>
    </row>
    <row r="185" customFormat="false" ht="15" hidden="false" customHeight="false" outlineLevel="0" collapsed="false">
      <c r="A185" s="19"/>
      <c r="B185" s="14"/>
      <c r="C185" s="14"/>
      <c r="D185" s="20" t="str">
        <f aca="false">IF(C185="","",IF(COUNTIF(ตั้งค่า!$A$7:$A$18,C185)&gt;0,"รายรับ",IF(COUNTIF(ตั้งค่า!$C$7:$C$31,C185)&gt;0,"รายจ่าย","ไม่พบหมวดหมู่")))</f>
        <v/>
      </c>
      <c r="E185" s="12"/>
      <c r="F185" s="14"/>
      <c r="G185" s="14"/>
      <c r="H185" s="21" t="n">
        <f aca="false">IF(OR(E185="",D185&lt;&gt;"รายรับ"),0,E185)</f>
        <v>0</v>
      </c>
      <c r="I185" s="21" t="n">
        <f aca="false">IF(OR(E185="",D185&lt;&gt;"รายจ่าย"),0,E185)</f>
        <v>0</v>
      </c>
      <c r="J185" s="21" t="str">
        <f aca="false">IF(E185="","",ตั้งค่า!$B$4+SUM($H$5:H185)-SUM($I$5:I185))</f>
        <v/>
      </c>
      <c r="K185" s="22" t="str">
        <f aca="false">IF(A185="","",MONTH(A185))</f>
        <v/>
      </c>
      <c r="L185" s="22" t="str">
        <f aca="false">IF(A185="","",YEAR(A185))</f>
        <v/>
      </c>
    </row>
    <row r="186" customFormat="false" ht="15" hidden="false" customHeight="false" outlineLevel="0" collapsed="false">
      <c r="A186" s="19"/>
      <c r="B186" s="14"/>
      <c r="C186" s="14"/>
      <c r="D186" s="20" t="str">
        <f aca="false">IF(C186="","",IF(COUNTIF(ตั้งค่า!$A$7:$A$18,C186)&gt;0,"รายรับ",IF(COUNTIF(ตั้งค่า!$C$7:$C$31,C186)&gt;0,"รายจ่าย","ไม่พบหมวดหมู่")))</f>
        <v/>
      </c>
      <c r="E186" s="12"/>
      <c r="F186" s="14"/>
      <c r="G186" s="14"/>
      <c r="H186" s="21" t="n">
        <f aca="false">IF(OR(E186="",D186&lt;&gt;"รายรับ"),0,E186)</f>
        <v>0</v>
      </c>
      <c r="I186" s="21" t="n">
        <f aca="false">IF(OR(E186="",D186&lt;&gt;"รายจ่าย"),0,E186)</f>
        <v>0</v>
      </c>
      <c r="J186" s="21" t="str">
        <f aca="false">IF(E186="","",ตั้งค่า!$B$4+SUM($H$5:H186)-SUM($I$5:I186))</f>
        <v/>
      </c>
      <c r="K186" s="22" t="str">
        <f aca="false">IF(A186="","",MONTH(A186))</f>
        <v/>
      </c>
      <c r="L186" s="22" t="str">
        <f aca="false">IF(A186="","",YEAR(A186))</f>
        <v/>
      </c>
    </row>
    <row r="187" customFormat="false" ht="15" hidden="false" customHeight="false" outlineLevel="0" collapsed="false">
      <c r="A187" s="19"/>
      <c r="B187" s="14"/>
      <c r="C187" s="14"/>
      <c r="D187" s="20" t="str">
        <f aca="false">IF(C187="","",IF(COUNTIF(ตั้งค่า!$A$7:$A$18,C187)&gt;0,"รายรับ",IF(COUNTIF(ตั้งค่า!$C$7:$C$31,C187)&gt;0,"รายจ่าย","ไม่พบหมวดหมู่")))</f>
        <v/>
      </c>
      <c r="E187" s="12"/>
      <c r="F187" s="14"/>
      <c r="G187" s="14"/>
      <c r="H187" s="21" t="n">
        <f aca="false">IF(OR(E187="",D187&lt;&gt;"รายรับ"),0,E187)</f>
        <v>0</v>
      </c>
      <c r="I187" s="21" t="n">
        <f aca="false">IF(OR(E187="",D187&lt;&gt;"รายจ่าย"),0,E187)</f>
        <v>0</v>
      </c>
      <c r="J187" s="21" t="str">
        <f aca="false">IF(E187="","",ตั้งค่า!$B$4+SUM($H$5:H187)-SUM($I$5:I187))</f>
        <v/>
      </c>
      <c r="K187" s="22" t="str">
        <f aca="false">IF(A187="","",MONTH(A187))</f>
        <v/>
      </c>
      <c r="L187" s="22" t="str">
        <f aca="false">IF(A187="","",YEAR(A187))</f>
        <v/>
      </c>
    </row>
    <row r="188" customFormat="false" ht="15" hidden="false" customHeight="false" outlineLevel="0" collapsed="false">
      <c r="A188" s="19"/>
      <c r="B188" s="14"/>
      <c r="C188" s="14"/>
      <c r="D188" s="20" t="str">
        <f aca="false">IF(C188="","",IF(COUNTIF(ตั้งค่า!$A$7:$A$18,C188)&gt;0,"รายรับ",IF(COUNTIF(ตั้งค่า!$C$7:$C$31,C188)&gt;0,"รายจ่าย","ไม่พบหมวดหมู่")))</f>
        <v/>
      </c>
      <c r="E188" s="12"/>
      <c r="F188" s="14"/>
      <c r="G188" s="14"/>
      <c r="H188" s="21" t="n">
        <f aca="false">IF(OR(E188="",D188&lt;&gt;"รายรับ"),0,E188)</f>
        <v>0</v>
      </c>
      <c r="I188" s="21" t="n">
        <f aca="false">IF(OR(E188="",D188&lt;&gt;"รายจ่าย"),0,E188)</f>
        <v>0</v>
      </c>
      <c r="J188" s="21" t="str">
        <f aca="false">IF(E188="","",ตั้งค่า!$B$4+SUM($H$5:H188)-SUM($I$5:I188))</f>
        <v/>
      </c>
      <c r="K188" s="22" t="str">
        <f aca="false">IF(A188="","",MONTH(A188))</f>
        <v/>
      </c>
      <c r="L188" s="22" t="str">
        <f aca="false">IF(A188="","",YEAR(A188))</f>
        <v/>
      </c>
    </row>
    <row r="189" customFormat="false" ht="15" hidden="false" customHeight="false" outlineLevel="0" collapsed="false">
      <c r="A189" s="19"/>
      <c r="B189" s="14"/>
      <c r="C189" s="14"/>
      <c r="D189" s="20" t="str">
        <f aca="false">IF(C189="","",IF(COUNTIF(ตั้งค่า!$A$7:$A$18,C189)&gt;0,"รายรับ",IF(COUNTIF(ตั้งค่า!$C$7:$C$31,C189)&gt;0,"รายจ่าย","ไม่พบหมวดหมู่")))</f>
        <v/>
      </c>
      <c r="E189" s="12"/>
      <c r="F189" s="14"/>
      <c r="G189" s="14"/>
      <c r="H189" s="21" t="n">
        <f aca="false">IF(OR(E189="",D189&lt;&gt;"รายรับ"),0,E189)</f>
        <v>0</v>
      </c>
      <c r="I189" s="21" t="n">
        <f aca="false">IF(OR(E189="",D189&lt;&gt;"รายจ่าย"),0,E189)</f>
        <v>0</v>
      </c>
      <c r="J189" s="21" t="str">
        <f aca="false">IF(E189="","",ตั้งค่า!$B$4+SUM($H$5:H189)-SUM($I$5:I189))</f>
        <v/>
      </c>
      <c r="K189" s="22" t="str">
        <f aca="false">IF(A189="","",MONTH(A189))</f>
        <v/>
      </c>
      <c r="L189" s="22" t="str">
        <f aca="false">IF(A189="","",YEAR(A189))</f>
        <v/>
      </c>
    </row>
    <row r="190" customFormat="false" ht="15" hidden="false" customHeight="false" outlineLevel="0" collapsed="false">
      <c r="A190" s="19"/>
      <c r="B190" s="14"/>
      <c r="C190" s="14"/>
      <c r="D190" s="20" t="str">
        <f aca="false">IF(C190="","",IF(COUNTIF(ตั้งค่า!$A$7:$A$18,C190)&gt;0,"รายรับ",IF(COUNTIF(ตั้งค่า!$C$7:$C$31,C190)&gt;0,"รายจ่าย","ไม่พบหมวดหมู่")))</f>
        <v/>
      </c>
      <c r="E190" s="12"/>
      <c r="F190" s="14"/>
      <c r="G190" s="14"/>
      <c r="H190" s="21" t="n">
        <f aca="false">IF(OR(E190="",D190&lt;&gt;"รายรับ"),0,E190)</f>
        <v>0</v>
      </c>
      <c r="I190" s="21" t="n">
        <f aca="false">IF(OR(E190="",D190&lt;&gt;"รายจ่าย"),0,E190)</f>
        <v>0</v>
      </c>
      <c r="J190" s="21" t="str">
        <f aca="false">IF(E190="","",ตั้งค่า!$B$4+SUM($H$5:H190)-SUM($I$5:I190))</f>
        <v/>
      </c>
      <c r="K190" s="22" t="str">
        <f aca="false">IF(A190="","",MONTH(A190))</f>
        <v/>
      </c>
      <c r="L190" s="22" t="str">
        <f aca="false">IF(A190="","",YEAR(A190))</f>
        <v/>
      </c>
    </row>
    <row r="191" customFormat="false" ht="15" hidden="false" customHeight="false" outlineLevel="0" collapsed="false">
      <c r="A191" s="19"/>
      <c r="B191" s="14"/>
      <c r="C191" s="14"/>
      <c r="D191" s="20" t="str">
        <f aca="false">IF(C191="","",IF(COUNTIF(ตั้งค่า!$A$7:$A$18,C191)&gt;0,"รายรับ",IF(COUNTIF(ตั้งค่า!$C$7:$C$31,C191)&gt;0,"รายจ่าย","ไม่พบหมวดหมู่")))</f>
        <v/>
      </c>
      <c r="E191" s="12"/>
      <c r="F191" s="14"/>
      <c r="G191" s="14"/>
      <c r="H191" s="21" t="n">
        <f aca="false">IF(OR(E191="",D191&lt;&gt;"รายรับ"),0,E191)</f>
        <v>0</v>
      </c>
      <c r="I191" s="21" t="n">
        <f aca="false">IF(OR(E191="",D191&lt;&gt;"รายจ่าย"),0,E191)</f>
        <v>0</v>
      </c>
      <c r="J191" s="21" t="str">
        <f aca="false">IF(E191="","",ตั้งค่า!$B$4+SUM($H$5:H191)-SUM($I$5:I191))</f>
        <v/>
      </c>
      <c r="K191" s="22" t="str">
        <f aca="false">IF(A191="","",MONTH(A191))</f>
        <v/>
      </c>
      <c r="L191" s="22" t="str">
        <f aca="false">IF(A191="","",YEAR(A191))</f>
        <v/>
      </c>
    </row>
    <row r="192" customFormat="false" ht="15" hidden="false" customHeight="false" outlineLevel="0" collapsed="false">
      <c r="A192" s="19"/>
      <c r="B192" s="14"/>
      <c r="C192" s="14"/>
      <c r="D192" s="20" t="str">
        <f aca="false">IF(C192="","",IF(COUNTIF(ตั้งค่า!$A$7:$A$18,C192)&gt;0,"รายรับ",IF(COUNTIF(ตั้งค่า!$C$7:$C$31,C192)&gt;0,"รายจ่าย","ไม่พบหมวดหมู่")))</f>
        <v/>
      </c>
      <c r="E192" s="12"/>
      <c r="F192" s="14"/>
      <c r="G192" s="14"/>
      <c r="H192" s="21" t="n">
        <f aca="false">IF(OR(E192="",D192&lt;&gt;"รายรับ"),0,E192)</f>
        <v>0</v>
      </c>
      <c r="I192" s="21" t="n">
        <f aca="false">IF(OR(E192="",D192&lt;&gt;"รายจ่าย"),0,E192)</f>
        <v>0</v>
      </c>
      <c r="J192" s="21" t="str">
        <f aca="false">IF(E192="","",ตั้งค่า!$B$4+SUM($H$5:H192)-SUM($I$5:I192))</f>
        <v/>
      </c>
      <c r="K192" s="22" t="str">
        <f aca="false">IF(A192="","",MONTH(A192))</f>
        <v/>
      </c>
      <c r="L192" s="22" t="str">
        <f aca="false">IF(A192="","",YEAR(A192))</f>
        <v/>
      </c>
    </row>
    <row r="193" customFormat="false" ht="15" hidden="false" customHeight="false" outlineLevel="0" collapsed="false">
      <c r="A193" s="19"/>
      <c r="B193" s="14"/>
      <c r="C193" s="14"/>
      <c r="D193" s="20" t="str">
        <f aca="false">IF(C193="","",IF(COUNTIF(ตั้งค่า!$A$7:$A$18,C193)&gt;0,"รายรับ",IF(COUNTIF(ตั้งค่า!$C$7:$C$31,C193)&gt;0,"รายจ่าย","ไม่พบหมวดหมู่")))</f>
        <v/>
      </c>
      <c r="E193" s="12"/>
      <c r="F193" s="14"/>
      <c r="G193" s="14"/>
      <c r="H193" s="21" t="n">
        <f aca="false">IF(OR(E193="",D193&lt;&gt;"รายรับ"),0,E193)</f>
        <v>0</v>
      </c>
      <c r="I193" s="21" t="n">
        <f aca="false">IF(OR(E193="",D193&lt;&gt;"รายจ่าย"),0,E193)</f>
        <v>0</v>
      </c>
      <c r="J193" s="21" t="str">
        <f aca="false">IF(E193="","",ตั้งค่า!$B$4+SUM($H$5:H193)-SUM($I$5:I193))</f>
        <v/>
      </c>
      <c r="K193" s="22" t="str">
        <f aca="false">IF(A193="","",MONTH(A193))</f>
        <v/>
      </c>
      <c r="L193" s="22" t="str">
        <f aca="false">IF(A193="","",YEAR(A193))</f>
        <v/>
      </c>
    </row>
    <row r="194" customFormat="false" ht="15" hidden="false" customHeight="false" outlineLevel="0" collapsed="false">
      <c r="A194" s="19"/>
      <c r="B194" s="14"/>
      <c r="C194" s="14"/>
      <c r="D194" s="20" t="str">
        <f aca="false">IF(C194="","",IF(COUNTIF(ตั้งค่า!$A$7:$A$18,C194)&gt;0,"รายรับ",IF(COUNTIF(ตั้งค่า!$C$7:$C$31,C194)&gt;0,"รายจ่าย","ไม่พบหมวดหมู่")))</f>
        <v/>
      </c>
      <c r="E194" s="12"/>
      <c r="F194" s="14"/>
      <c r="G194" s="14"/>
      <c r="H194" s="21" t="n">
        <f aca="false">IF(OR(E194="",D194&lt;&gt;"รายรับ"),0,E194)</f>
        <v>0</v>
      </c>
      <c r="I194" s="21" t="n">
        <f aca="false">IF(OR(E194="",D194&lt;&gt;"รายจ่าย"),0,E194)</f>
        <v>0</v>
      </c>
      <c r="J194" s="21" t="str">
        <f aca="false">IF(E194="","",ตั้งค่า!$B$4+SUM($H$5:H194)-SUM($I$5:I194))</f>
        <v/>
      </c>
      <c r="K194" s="22" t="str">
        <f aca="false">IF(A194="","",MONTH(A194))</f>
        <v/>
      </c>
      <c r="L194" s="22" t="str">
        <f aca="false">IF(A194="","",YEAR(A194))</f>
        <v/>
      </c>
    </row>
    <row r="195" customFormat="false" ht="15" hidden="false" customHeight="false" outlineLevel="0" collapsed="false">
      <c r="A195" s="19"/>
      <c r="B195" s="14"/>
      <c r="C195" s="14"/>
      <c r="D195" s="20" t="str">
        <f aca="false">IF(C195="","",IF(COUNTIF(ตั้งค่า!$A$7:$A$18,C195)&gt;0,"รายรับ",IF(COUNTIF(ตั้งค่า!$C$7:$C$31,C195)&gt;0,"รายจ่าย","ไม่พบหมวดหมู่")))</f>
        <v/>
      </c>
      <c r="E195" s="12"/>
      <c r="F195" s="14"/>
      <c r="G195" s="14"/>
      <c r="H195" s="21" t="n">
        <f aca="false">IF(OR(E195="",D195&lt;&gt;"รายรับ"),0,E195)</f>
        <v>0</v>
      </c>
      <c r="I195" s="21" t="n">
        <f aca="false">IF(OR(E195="",D195&lt;&gt;"รายจ่าย"),0,E195)</f>
        <v>0</v>
      </c>
      <c r="J195" s="21" t="str">
        <f aca="false">IF(E195="","",ตั้งค่า!$B$4+SUM($H$5:H195)-SUM($I$5:I195))</f>
        <v/>
      </c>
      <c r="K195" s="22" t="str">
        <f aca="false">IF(A195="","",MONTH(A195))</f>
        <v/>
      </c>
      <c r="L195" s="22" t="str">
        <f aca="false">IF(A195="","",YEAR(A195))</f>
        <v/>
      </c>
    </row>
    <row r="196" customFormat="false" ht="15" hidden="false" customHeight="false" outlineLevel="0" collapsed="false">
      <c r="A196" s="19"/>
      <c r="B196" s="14"/>
      <c r="C196" s="14"/>
      <c r="D196" s="20" t="str">
        <f aca="false">IF(C196="","",IF(COUNTIF(ตั้งค่า!$A$7:$A$18,C196)&gt;0,"รายรับ",IF(COUNTIF(ตั้งค่า!$C$7:$C$31,C196)&gt;0,"รายจ่าย","ไม่พบหมวดหมู่")))</f>
        <v/>
      </c>
      <c r="E196" s="12"/>
      <c r="F196" s="14"/>
      <c r="G196" s="14"/>
      <c r="H196" s="21" t="n">
        <f aca="false">IF(OR(E196="",D196&lt;&gt;"รายรับ"),0,E196)</f>
        <v>0</v>
      </c>
      <c r="I196" s="21" t="n">
        <f aca="false">IF(OR(E196="",D196&lt;&gt;"รายจ่าย"),0,E196)</f>
        <v>0</v>
      </c>
      <c r="J196" s="21" t="str">
        <f aca="false">IF(E196="","",ตั้งค่า!$B$4+SUM($H$5:H196)-SUM($I$5:I196))</f>
        <v/>
      </c>
      <c r="K196" s="22" t="str">
        <f aca="false">IF(A196="","",MONTH(A196))</f>
        <v/>
      </c>
      <c r="L196" s="22" t="str">
        <f aca="false">IF(A196="","",YEAR(A196))</f>
        <v/>
      </c>
    </row>
    <row r="197" customFormat="false" ht="15" hidden="false" customHeight="false" outlineLevel="0" collapsed="false">
      <c r="A197" s="19"/>
      <c r="B197" s="14"/>
      <c r="C197" s="14"/>
      <c r="D197" s="20" t="str">
        <f aca="false">IF(C197="","",IF(COUNTIF(ตั้งค่า!$A$7:$A$18,C197)&gt;0,"รายรับ",IF(COUNTIF(ตั้งค่า!$C$7:$C$31,C197)&gt;0,"รายจ่าย","ไม่พบหมวดหมู่")))</f>
        <v/>
      </c>
      <c r="E197" s="12"/>
      <c r="F197" s="14"/>
      <c r="G197" s="14"/>
      <c r="H197" s="21" t="n">
        <f aca="false">IF(OR(E197="",D197&lt;&gt;"รายรับ"),0,E197)</f>
        <v>0</v>
      </c>
      <c r="I197" s="21" t="n">
        <f aca="false">IF(OR(E197="",D197&lt;&gt;"รายจ่าย"),0,E197)</f>
        <v>0</v>
      </c>
      <c r="J197" s="21" t="str">
        <f aca="false">IF(E197="","",ตั้งค่า!$B$4+SUM($H$5:H197)-SUM($I$5:I197))</f>
        <v/>
      </c>
      <c r="K197" s="22" t="str">
        <f aca="false">IF(A197="","",MONTH(A197))</f>
        <v/>
      </c>
      <c r="L197" s="22" t="str">
        <f aca="false">IF(A197="","",YEAR(A197))</f>
        <v/>
      </c>
    </row>
    <row r="198" customFormat="false" ht="15" hidden="false" customHeight="false" outlineLevel="0" collapsed="false">
      <c r="A198" s="19"/>
      <c r="B198" s="14"/>
      <c r="C198" s="14"/>
      <c r="D198" s="20" t="str">
        <f aca="false">IF(C198="","",IF(COUNTIF(ตั้งค่า!$A$7:$A$18,C198)&gt;0,"รายรับ",IF(COUNTIF(ตั้งค่า!$C$7:$C$31,C198)&gt;0,"รายจ่าย","ไม่พบหมวดหมู่")))</f>
        <v/>
      </c>
      <c r="E198" s="12"/>
      <c r="F198" s="14"/>
      <c r="G198" s="14"/>
      <c r="H198" s="21" t="n">
        <f aca="false">IF(OR(E198="",D198&lt;&gt;"รายรับ"),0,E198)</f>
        <v>0</v>
      </c>
      <c r="I198" s="21" t="n">
        <f aca="false">IF(OR(E198="",D198&lt;&gt;"รายจ่าย"),0,E198)</f>
        <v>0</v>
      </c>
      <c r="J198" s="21" t="str">
        <f aca="false">IF(E198="","",ตั้งค่า!$B$4+SUM($H$5:H198)-SUM($I$5:I198))</f>
        <v/>
      </c>
      <c r="K198" s="22" t="str">
        <f aca="false">IF(A198="","",MONTH(A198))</f>
        <v/>
      </c>
      <c r="L198" s="22" t="str">
        <f aca="false">IF(A198="","",YEAR(A198))</f>
        <v/>
      </c>
    </row>
    <row r="199" customFormat="false" ht="15" hidden="false" customHeight="false" outlineLevel="0" collapsed="false">
      <c r="A199" s="19"/>
      <c r="B199" s="14"/>
      <c r="C199" s="14"/>
      <c r="D199" s="20" t="str">
        <f aca="false">IF(C199="","",IF(COUNTIF(ตั้งค่า!$A$7:$A$18,C199)&gt;0,"รายรับ",IF(COUNTIF(ตั้งค่า!$C$7:$C$31,C199)&gt;0,"รายจ่าย","ไม่พบหมวดหมู่")))</f>
        <v/>
      </c>
      <c r="E199" s="12"/>
      <c r="F199" s="14"/>
      <c r="G199" s="14"/>
      <c r="H199" s="21" t="n">
        <f aca="false">IF(OR(E199="",D199&lt;&gt;"รายรับ"),0,E199)</f>
        <v>0</v>
      </c>
      <c r="I199" s="21" t="n">
        <f aca="false">IF(OR(E199="",D199&lt;&gt;"รายจ่าย"),0,E199)</f>
        <v>0</v>
      </c>
      <c r="J199" s="21" t="str">
        <f aca="false">IF(E199="","",ตั้งค่า!$B$4+SUM($H$5:H199)-SUM($I$5:I199))</f>
        <v/>
      </c>
      <c r="K199" s="22" t="str">
        <f aca="false">IF(A199="","",MONTH(A199))</f>
        <v/>
      </c>
      <c r="L199" s="22" t="str">
        <f aca="false">IF(A199="","",YEAR(A199))</f>
        <v/>
      </c>
    </row>
    <row r="200" customFormat="false" ht="15" hidden="false" customHeight="false" outlineLevel="0" collapsed="false">
      <c r="A200" s="19"/>
      <c r="B200" s="14"/>
      <c r="C200" s="14"/>
      <c r="D200" s="20" t="str">
        <f aca="false">IF(C200="","",IF(COUNTIF(ตั้งค่า!$A$7:$A$18,C200)&gt;0,"รายรับ",IF(COUNTIF(ตั้งค่า!$C$7:$C$31,C200)&gt;0,"รายจ่าย","ไม่พบหมวดหมู่")))</f>
        <v/>
      </c>
      <c r="E200" s="12"/>
      <c r="F200" s="14"/>
      <c r="G200" s="14"/>
      <c r="H200" s="21" t="n">
        <f aca="false">IF(OR(E200="",D200&lt;&gt;"รายรับ"),0,E200)</f>
        <v>0</v>
      </c>
      <c r="I200" s="21" t="n">
        <f aca="false">IF(OR(E200="",D200&lt;&gt;"รายจ่าย"),0,E200)</f>
        <v>0</v>
      </c>
      <c r="J200" s="21" t="str">
        <f aca="false">IF(E200="","",ตั้งค่า!$B$4+SUM($H$5:H200)-SUM($I$5:I200))</f>
        <v/>
      </c>
      <c r="K200" s="22" t="str">
        <f aca="false">IF(A200="","",MONTH(A200))</f>
        <v/>
      </c>
      <c r="L200" s="22" t="str">
        <f aca="false">IF(A200="","",YEAR(A200))</f>
        <v/>
      </c>
    </row>
    <row r="201" customFormat="false" ht="15" hidden="false" customHeight="false" outlineLevel="0" collapsed="false">
      <c r="A201" s="19"/>
      <c r="B201" s="14"/>
      <c r="C201" s="14"/>
      <c r="D201" s="20" t="str">
        <f aca="false">IF(C201="","",IF(COUNTIF(ตั้งค่า!$A$7:$A$18,C201)&gt;0,"รายรับ",IF(COUNTIF(ตั้งค่า!$C$7:$C$31,C201)&gt;0,"รายจ่าย","ไม่พบหมวดหมู่")))</f>
        <v/>
      </c>
      <c r="E201" s="12"/>
      <c r="F201" s="14"/>
      <c r="G201" s="14"/>
      <c r="H201" s="21" t="n">
        <f aca="false">IF(OR(E201="",D201&lt;&gt;"รายรับ"),0,E201)</f>
        <v>0</v>
      </c>
      <c r="I201" s="21" t="n">
        <f aca="false">IF(OR(E201="",D201&lt;&gt;"รายจ่าย"),0,E201)</f>
        <v>0</v>
      </c>
      <c r="J201" s="21" t="str">
        <f aca="false">IF(E201="","",ตั้งค่า!$B$4+SUM($H$5:H201)-SUM($I$5:I201))</f>
        <v/>
      </c>
      <c r="K201" s="22" t="str">
        <f aca="false">IF(A201="","",MONTH(A201))</f>
        <v/>
      </c>
      <c r="L201" s="22" t="str">
        <f aca="false">IF(A201="","",YEAR(A201))</f>
        <v/>
      </c>
    </row>
    <row r="202" customFormat="false" ht="15" hidden="false" customHeight="false" outlineLevel="0" collapsed="false">
      <c r="A202" s="19"/>
      <c r="B202" s="14"/>
      <c r="C202" s="14"/>
      <c r="D202" s="20" t="str">
        <f aca="false">IF(C202="","",IF(COUNTIF(ตั้งค่า!$A$7:$A$18,C202)&gt;0,"รายรับ",IF(COUNTIF(ตั้งค่า!$C$7:$C$31,C202)&gt;0,"รายจ่าย","ไม่พบหมวดหมู่")))</f>
        <v/>
      </c>
      <c r="E202" s="12"/>
      <c r="F202" s="14"/>
      <c r="G202" s="14"/>
      <c r="H202" s="21" t="n">
        <f aca="false">IF(OR(E202="",D202&lt;&gt;"รายรับ"),0,E202)</f>
        <v>0</v>
      </c>
      <c r="I202" s="21" t="n">
        <f aca="false">IF(OR(E202="",D202&lt;&gt;"รายจ่าย"),0,E202)</f>
        <v>0</v>
      </c>
      <c r="J202" s="21" t="str">
        <f aca="false">IF(E202="","",ตั้งค่า!$B$4+SUM($H$5:H202)-SUM($I$5:I202))</f>
        <v/>
      </c>
      <c r="K202" s="22" t="str">
        <f aca="false">IF(A202="","",MONTH(A202))</f>
        <v/>
      </c>
      <c r="L202" s="22" t="str">
        <f aca="false">IF(A202="","",YEAR(A202))</f>
        <v/>
      </c>
    </row>
    <row r="203" customFormat="false" ht="15" hidden="false" customHeight="false" outlineLevel="0" collapsed="false">
      <c r="A203" s="19"/>
      <c r="B203" s="14"/>
      <c r="C203" s="14"/>
      <c r="D203" s="20" t="str">
        <f aca="false">IF(C203="","",IF(COUNTIF(ตั้งค่า!$A$7:$A$18,C203)&gt;0,"รายรับ",IF(COUNTIF(ตั้งค่า!$C$7:$C$31,C203)&gt;0,"รายจ่าย","ไม่พบหมวดหมู่")))</f>
        <v/>
      </c>
      <c r="E203" s="12"/>
      <c r="F203" s="14"/>
      <c r="G203" s="14"/>
      <c r="H203" s="21" t="n">
        <f aca="false">IF(OR(E203="",D203&lt;&gt;"รายรับ"),0,E203)</f>
        <v>0</v>
      </c>
      <c r="I203" s="21" t="n">
        <f aca="false">IF(OR(E203="",D203&lt;&gt;"รายจ่าย"),0,E203)</f>
        <v>0</v>
      </c>
      <c r="J203" s="21" t="str">
        <f aca="false">IF(E203="","",ตั้งค่า!$B$4+SUM($H$5:H203)-SUM($I$5:I203))</f>
        <v/>
      </c>
      <c r="K203" s="22" t="str">
        <f aca="false">IF(A203="","",MONTH(A203))</f>
        <v/>
      </c>
      <c r="L203" s="22" t="str">
        <f aca="false">IF(A203="","",YEAR(A203))</f>
        <v/>
      </c>
    </row>
    <row r="204" customFormat="false" ht="15" hidden="false" customHeight="false" outlineLevel="0" collapsed="false">
      <c r="A204" s="19"/>
      <c r="B204" s="14"/>
      <c r="C204" s="14"/>
      <c r="D204" s="20" t="str">
        <f aca="false">IF(C204="","",IF(COUNTIF(ตั้งค่า!$A$7:$A$18,C204)&gt;0,"รายรับ",IF(COUNTIF(ตั้งค่า!$C$7:$C$31,C204)&gt;0,"รายจ่าย","ไม่พบหมวดหมู่")))</f>
        <v/>
      </c>
      <c r="E204" s="12"/>
      <c r="F204" s="14"/>
      <c r="G204" s="14"/>
      <c r="H204" s="21" t="n">
        <f aca="false">IF(OR(E204="",D204&lt;&gt;"รายรับ"),0,E204)</f>
        <v>0</v>
      </c>
      <c r="I204" s="21" t="n">
        <f aca="false">IF(OR(E204="",D204&lt;&gt;"รายจ่าย"),0,E204)</f>
        <v>0</v>
      </c>
      <c r="J204" s="21" t="str">
        <f aca="false">IF(E204="","",ตั้งค่า!$B$4+SUM($H$5:H204)-SUM($I$5:I204))</f>
        <v/>
      </c>
      <c r="K204" s="22" t="str">
        <f aca="false">IF(A204="","",MONTH(A204))</f>
        <v/>
      </c>
      <c r="L204" s="22" t="str">
        <f aca="false">IF(A204="","",YEAR(A204))</f>
        <v/>
      </c>
    </row>
    <row r="205" customFormat="false" ht="15" hidden="false" customHeight="false" outlineLevel="0" collapsed="false">
      <c r="A205" s="23"/>
      <c r="B205" s="24"/>
      <c r="C205" s="24"/>
      <c r="D205" s="20" t="str">
        <f aca="false">IF(C205="","",IF(COUNTIF(ตั้งค่า!$A$7:$A$18,C205)&gt;0,"รายรับ",IF(COUNTIF(ตั้งค่า!$C$7:$C$31,C205)&gt;0,"รายจ่าย","ไม่พบหมวดหมู่")))</f>
        <v/>
      </c>
      <c r="E205" s="25"/>
      <c r="F205" s="24"/>
      <c r="G205" s="24"/>
      <c r="H205" s="21" t="n">
        <f aca="false">IF(OR(E205="",D205&lt;&gt;"รายรับ"),0,E205)</f>
        <v>0</v>
      </c>
      <c r="I205" s="21" t="n">
        <f aca="false">IF(OR(E205="",D205&lt;&gt;"รายจ่าย"),0,E205)</f>
        <v>0</v>
      </c>
      <c r="J205" s="21" t="str">
        <f aca="false">IF(E205="","",ตั้งค่า!$B$4+SUM($H$5:H205)-SUM($I$5:I205))</f>
        <v/>
      </c>
      <c r="K205" s="22" t="str">
        <f aca="false">IF(A205="","",MONTH(A205))</f>
        <v/>
      </c>
      <c r="L205" s="22" t="str">
        <f aca="false">IF(A205="","",YEAR(A205))</f>
        <v/>
      </c>
    </row>
    <row r="206" customFormat="false" ht="15" hidden="false" customHeight="false" outlineLevel="0" collapsed="false">
      <c r="A206" s="23"/>
      <c r="B206" s="24"/>
      <c r="C206" s="24"/>
      <c r="D206" s="20" t="str">
        <f aca="false">IF(C206="","",IF(COUNTIF(ตั้งค่า!$A$7:$A$18,C206)&gt;0,"รายรับ",IF(COUNTIF(ตั้งค่า!$C$7:$C$31,C206)&gt;0,"รายจ่าย","ไม่พบหมวดหมู่")))</f>
        <v/>
      </c>
      <c r="E206" s="25"/>
      <c r="F206" s="24"/>
      <c r="G206" s="24"/>
      <c r="H206" s="21" t="n">
        <f aca="false">IF(OR(E206="",D206&lt;&gt;"รายรับ"),0,E206)</f>
        <v>0</v>
      </c>
      <c r="I206" s="21" t="n">
        <f aca="false">IF(OR(E206="",D206&lt;&gt;"รายจ่าย"),0,E206)</f>
        <v>0</v>
      </c>
      <c r="J206" s="21" t="str">
        <f aca="false">IF(E206="","",ตั้งค่า!$B$4+SUM($H$5:H206)-SUM($I$5:I206))</f>
        <v/>
      </c>
      <c r="K206" s="22" t="str">
        <f aca="false">IF(A206="","",MONTH(A206))</f>
        <v/>
      </c>
      <c r="L206" s="22" t="str">
        <f aca="false">IF(A206="","",YEAR(A206))</f>
        <v/>
      </c>
    </row>
    <row r="207" customFormat="false" ht="15" hidden="false" customHeight="false" outlineLevel="0" collapsed="false">
      <c r="A207" s="23"/>
      <c r="B207" s="24"/>
      <c r="C207" s="24"/>
      <c r="D207" s="20" t="str">
        <f aca="false">IF(C207="","",IF(COUNTIF(ตั้งค่า!$A$7:$A$18,C207)&gt;0,"รายรับ",IF(COUNTIF(ตั้งค่า!$C$7:$C$31,C207)&gt;0,"รายจ่าย","ไม่พบหมวดหมู่")))</f>
        <v/>
      </c>
      <c r="E207" s="25"/>
      <c r="F207" s="24"/>
      <c r="G207" s="24"/>
      <c r="H207" s="21" t="n">
        <f aca="false">IF(OR(E207="",D207&lt;&gt;"รายรับ"),0,E207)</f>
        <v>0</v>
      </c>
      <c r="I207" s="21" t="n">
        <f aca="false">IF(OR(E207="",D207&lt;&gt;"รายจ่าย"),0,E207)</f>
        <v>0</v>
      </c>
      <c r="J207" s="21" t="str">
        <f aca="false">IF(E207="","",ตั้งค่า!$B$4+SUM($H$5:H207)-SUM($I$5:I207))</f>
        <v/>
      </c>
      <c r="K207" s="22" t="str">
        <f aca="false">IF(A207="","",MONTH(A207))</f>
        <v/>
      </c>
      <c r="L207" s="22" t="str">
        <f aca="false">IF(A207="","",YEAR(A207))</f>
        <v/>
      </c>
    </row>
    <row r="208" customFormat="false" ht="15" hidden="false" customHeight="false" outlineLevel="0" collapsed="false">
      <c r="A208" s="23"/>
      <c r="B208" s="24"/>
      <c r="C208" s="24"/>
      <c r="D208" s="20" t="str">
        <f aca="false">IF(C208="","",IF(COUNTIF(ตั้งค่า!$A$7:$A$18,C208)&gt;0,"รายรับ",IF(COUNTIF(ตั้งค่า!$C$7:$C$31,C208)&gt;0,"รายจ่าย","ไม่พบหมวดหมู่")))</f>
        <v/>
      </c>
      <c r="E208" s="25"/>
      <c r="F208" s="24"/>
      <c r="G208" s="24"/>
      <c r="H208" s="21" t="n">
        <f aca="false">IF(OR(E208="",D208&lt;&gt;"รายรับ"),0,E208)</f>
        <v>0</v>
      </c>
      <c r="I208" s="21" t="n">
        <f aca="false">IF(OR(E208="",D208&lt;&gt;"รายจ่าย"),0,E208)</f>
        <v>0</v>
      </c>
      <c r="J208" s="21" t="str">
        <f aca="false">IF(E208="","",ตั้งค่า!$B$4+SUM($H$5:H208)-SUM($I$5:I208))</f>
        <v/>
      </c>
      <c r="K208" s="22" t="str">
        <f aca="false">IF(A208="","",MONTH(A208))</f>
        <v/>
      </c>
      <c r="L208" s="22" t="str">
        <f aca="false">IF(A208="","",YEAR(A208))</f>
        <v/>
      </c>
    </row>
    <row r="209" customFormat="false" ht="15" hidden="false" customHeight="false" outlineLevel="0" collapsed="false">
      <c r="A209" s="23"/>
      <c r="B209" s="24"/>
      <c r="C209" s="24"/>
      <c r="D209" s="20" t="str">
        <f aca="false">IF(C209="","",IF(COUNTIF(ตั้งค่า!$A$7:$A$18,C209)&gt;0,"รายรับ",IF(COUNTIF(ตั้งค่า!$C$7:$C$31,C209)&gt;0,"รายจ่าย","ไม่พบหมวดหมู่")))</f>
        <v/>
      </c>
      <c r="E209" s="25"/>
      <c r="F209" s="24"/>
      <c r="G209" s="24"/>
      <c r="H209" s="21" t="n">
        <f aca="false">IF(OR(E209="",D209&lt;&gt;"รายรับ"),0,E209)</f>
        <v>0</v>
      </c>
      <c r="I209" s="21" t="n">
        <f aca="false">IF(OR(E209="",D209&lt;&gt;"รายจ่าย"),0,E209)</f>
        <v>0</v>
      </c>
      <c r="J209" s="21" t="str">
        <f aca="false">IF(E209="","",ตั้งค่า!$B$4+SUM($H$5:H209)-SUM($I$5:I209))</f>
        <v/>
      </c>
      <c r="K209" s="22" t="str">
        <f aca="false">IF(A209="","",MONTH(A209))</f>
        <v/>
      </c>
      <c r="L209" s="22" t="str">
        <f aca="false">IF(A209="","",YEAR(A209))</f>
        <v/>
      </c>
    </row>
    <row r="210" customFormat="false" ht="15" hidden="false" customHeight="false" outlineLevel="0" collapsed="false">
      <c r="A210" s="23"/>
      <c r="B210" s="24"/>
      <c r="C210" s="24"/>
      <c r="D210" s="20" t="str">
        <f aca="false">IF(C210="","",IF(COUNTIF(ตั้งค่า!$A$7:$A$18,C210)&gt;0,"รายรับ",IF(COUNTIF(ตั้งค่า!$C$7:$C$31,C210)&gt;0,"รายจ่าย","ไม่พบหมวดหมู่")))</f>
        <v/>
      </c>
      <c r="E210" s="25"/>
      <c r="F210" s="24"/>
      <c r="G210" s="24"/>
      <c r="H210" s="21" t="n">
        <f aca="false">IF(OR(E210="",D210&lt;&gt;"รายรับ"),0,E210)</f>
        <v>0</v>
      </c>
      <c r="I210" s="21" t="n">
        <f aca="false">IF(OR(E210="",D210&lt;&gt;"รายจ่าย"),0,E210)</f>
        <v>0</v>
      </c>
      <c r="J210" s="21" t="str">
        <f aca="false">IF(E210="","",ตั้งค่า!$B$4+SUM($H$5:H210)-SUM($I$5:I210))</f>
        <v/>
      </c>
      <c r="K210" s="22" t="str">
        <f aca="false">IF(A210="","",MONTH(A210))</f>
        <v/>
      </c>
      <c r="L210" s="22" t="str">
        <f aca="false">IF(A210="","",YEAR(A210))</f>
        <v/>
      </c>
    </row>
    <row r="211" customFormat="false" ht="15" hidden="false" customHeight="false" outlineLevel="0" collapsed="false">
      <c r="A211" s="23"/>
      <c r="B211" s="24"/>
      <c r="C211" s="24"/>
      <c r="D211" s="20" t="str">
        <f aca="false">IF(C211="","",IF(COUNTIF(ตั้งค่า!$A$7:$A$18,C211)&gt;0,"รายรับ",IF(COUNTIF(ตั้งค่า!$C$7:$C$31,C211)&gt;0,"รายจ่าย","ไม่พบหมวดหมู่")))</f>
        <v/>
      </c>
      <c r="E211" s="25"/>
      <c r="F211" s="24"/>
      <c r="G211" s="24"/>
      <c r="H211" s="21" t="n">
        <f aca="false">IF(OR(E211="",D211&lt;&gt;"รายรับ"),0,E211)</f>
        <v>0</v>
      </c>
      <c r="I211" s="21" t="n">
        <f aca="false">IF(OR(E211="",D211&lt;&gt;"รายจ่าย"),0,E211)</f>
        <v>0</v>
      </c>
      <c r="J211" s="21" t="str">
        <f aca="false">IF(E211="","",ตั้งค่า!$B$4+SUM($H$5:H211)-SUM($I$5:I211))</f>
        <v/>
      </c>
      <c r="K211" s="22" t="str">
        <f aca="false">IF(A211="","",MONTH(A211))</f>
        <v/>
      </c>
      <c r="L211" s="22" t="str">
        <f aca="false">IF(A211="","",YEAR(A211))</f>
        <v/>
      </c>
    </row>
    <row r="212" customFormat="false" ht="15" hidden="false" customHeight="false" outlineLevel="0" collapsed="false">
      <c r="A212" s="23"/>
      <c r="B212" s="24"/>
      <c r="C212" s="24"/>
      <c r="D212" s="20" t="str">
        <f aca="false">IF(C212="","",IF(COUNTIF(ตั้งค่า!$A$7:$A$18,C212)&gt;0,"รายรับ",IF(COUNTIF(ตั้งค่า!$C$7:$C$31,C212)&gt;0,"รายจ่าย","ไม่พบหมวดหมู่")))</f>
        <v/>
      </c>
      <c r="E212" s="25"/>
      <c r="F212" s="24"/>
      <c r="G212" s="24"/>
      <c r="H212" s="21" t="n">
        <f aca="false">IF(OR(E212="",D212&lt;&gt;"รายรับ"),0,E212)</f>
        <v>0</v>
      </c>
      <c r="I212" s="21" t="n">
        <f aca="false">IF(OR(E212="",D212&lt;&gt;"รายจ่าย"),0,E212)</f>
        <v>0</v>
      </c>
      <c r="J212" s="21" t="str">
        <f aca="false">IF(E212="","",ตั้งค่า!$B$4+SUM($H$5:H212)-SUM($I$5:I212))</f>
        <v/>
      </c>
      <c r="K212" s="22" t="str">
        <f aca="false">IF(A212="","",MONTH(A212))</f>
        <v/>
      </c>
      <c r="L212" s="22" t="str">
        <f aca="false">IF(A212="","",YEAR(A212))</f>
        <v/>
      </c>
    </row>
    <row r="213" customFormat="false" ht="15" hidden="false" customHeight="false" outlineLevel="0" collapsed="false">
      <c r="A213" s="23"/>
      <c r="B213" s="24"/>
      <c r="C213" s="24"/>
      <c r="D213" s="20" t="str">
        <f aca="false">IF(C213="","",IF(COUNTIF(ตั้งค่า!$A$7:$A$18,C213)&gt;0,"รายรับ",IF(COUNTIF(ตั้งค่า!$C$7:$C$31,C213)&gt;0,"รายจ่าย","ไม่พบหมวดหมู่")))</f>
        <v/>
      </c>
      <c r="E213" s="25"/>
      <c r="F213" s="24"/>
      <c r="G213" s="24"/>
      <c r="H213" s="21" t="n">
        <f aca="false">IF(OR(E213="",D213&lt;&gt;"รายรับ"),0,E213)</f>
        <v>0</v>
      </c>
      <c r="I213" s="21" t="n">
        <f aca="false">IF(OR(E213="",D213&lt;&gt;"รายจ่าย"),0,E213)</f>
        <v>0</v>
      </c>
      <c r="J213" s="21" t="str">
        <f aca="false">IF(E213="","",ตั้งค่า!$B$4+SUM($H$5:H213)-SUM($I$5:I213))</f>
        <v/>
      </c>
      <c r="K213" s="22" t="str">
        <f aca="false">IF(A213="","",MONTH(A213))</f>
        <v/>
      </c>
      <c r="L213" s="22" t="str">
        <f aca="false">IF(A213="","",YEAR(A213))</f>
        <v/>
      </c>
    </row>
    <row r="214" customFormat="false" ht="15" hidden="false" customHeight="false" outlineLevel="0" collapsed="false">
      <c r="A214" s="23"/>
      <c r="B214" s="24"/>
      <c r="C214" s="24"/>
      <c r="D214" s="20" t="str">
        <f aca="false">IF(C214="","",IF(COUNTIF(ตั้งค่า!$A$7:$A$18,C214)&gt;0,"รายรับ",IF(COUNTIF(ตั้งค่า!$C$7:$C$31,C214)&gt;0,"รายจ่าย","ไม่พบหมวดหมู่")))</f>
        <v/>
      </c>
      <c r="E214" s="25"/>
      <c r="F214" s="24"/>
      <c r="G214" s="24"/>
      <c r="H214" s="21" t="n">
        <f aca="false">IF(OR(E214="",D214&lt;&gt;"รายรับ"),0,E214)</f>
        <v>0</v>
      </c>
      <c r="I214" s="21" t="n">
        <f aca="false">IF(OR(E214="",D214&lt;&gt;"รายจ่าย"),0,E214)</f>
        <v>0</v>
      </c>
      <c r="J214" s="21" t="str">
        <f aca="false">IF(E214="","",ตั้งค่า!$B$4+SUM($H$5:H214)-SUM($I$5:I214))</f>
        <v/>
      </c>
      <c r="K214" s="22" t="str">
        <f aca="false">IF(A214="","",MONTH(A214))</f>
        <v/>
      </c>
      <c r="L214" s="22" t="str">
        <f aca="false">IF(A214="","",YEAR(A214))</f>
        <v/>
      </c>
    </row>
    <row r="215" customFormat="false" ht="15" hidden="false" customHeight="false" outlineLevel="0" collapsed="false">
      <c r="A215" s="23"/>
      <c r="B215" s="24"/>
      <c r="C215" s="24"/>
      <c r="D215" s="20" t="str">
        <f aca="false">IF(C215="","",IF(COUNTIF(ตั้งค่า!$A$7:$A$18,C215)&gt;0,"รายรับ",IF(COUNTIF(ตั้งค่า!$C$7:$C$31,C215)&gt;0,"รายจ่าย","ไม่พบหมวดหมู่")))</f>
        <v/>
      </c>
      <c r="E215" s="25"/>
      <c r="F215" s="24"/>
      <c r="G215" s="24"/>
      <c r="H215" s="21" t="n">
        <f aca="false">IF(OR(E215="",D215&lt;&gt;"รายรับ"),0,E215)</f>
        <v>0</v>
      </c>
      <c r="I215" s="21" t="n">
        <f aca="false">IF(OR(E215="",D215&lt;&gt;"รายจ่าย"),0,E215)</f>
        <v>0</v>
      </c>
      <c r="J215" s="21" t="str">
        <f aca="false">IF(E215="","",ตั้งค่า!$B$4+SUM($H$5:H215)-SUM($I$5:I215))</f>
        <v/>
      </c>
      <c r="K215" s="22" t="str">
        <f aca="false">IF(A215="","",MONTH(A215))</f>
        <v/>
      </c>
      <c r="L215" s="22" t="str">
        <f aca="false">IF(A215="","",YEAR(A215))</f>
        <v/>
      </c>
    </row>
    <row r="216" customFormat="false" ht="15" hidden="false" customHeight="false" outlineLevel="0" collapsed="false">
      <c r="A216" s="23"/>
      <c r="B216" s="24"/>
      <c r="C216" s="24"/>
      <c r="D216" s="20" t="str">
        <f aca="false">IF(C216="","",IF(COUNTIF(ตั้งค่า!$A$7:$A$18,C216)&gt;0,"รายรับ",IF(COUNTIF(ตั้งค่า!$C$7:$C$31,C216)&gt;0,"รายจ่าย","ไม่พบหมวดหมู่")))</f>
        <v/>
      </c>
      <c r="E216" s="25"/>
      <c r="F216" s="24"/>
      <c r="G216" s="24"/>
      <c r="H216" s="21" t="n">
        <f aca="false">IF(OR(E216="",D216&lt;&gt;"รายรับ"),0,E216)</f>
        <v>0</v>
      </c>
      <c r="I216" s="21" t="n">
        <f aca="false">IF(OR(E216="",D216&lt;&gt;"รายจ่าย"),0,E216)</f>
        <v>0</v>
      </c>
      <c r="J216" s="21" t="str">
        <f aca="false">IF(E216="","",ตั้งค่า!$B$4+SUM($H$5:H216)-SUM($I$5:I216))</f>
        <v/>
      </c>
      <c r="K216" s="22" t="str">
        <f aca="false">IF(A216="","",MONTH(A216))</f>
        <v/>
      </c>
      <c r="L216" s="22" t="str">
        <f aca="false">IF(A216="","",YEAR(A216))</f>
        <v/>
      </c>
    </row>
    <row r="217" customFormat="false" ht="15" hidden="false" customHeight="false" outlineLevel="0" collapsed="false">
      <c r="A217" s="23"/>
      <c r="B217" s="24"/>
      <c r="C217" s="24"/>
      <c r="D217" s="20" t="str">
        <f aca="false">IF(C217="","",IF(COUNTIF(ตั้งค่า!$A$7:$A$18,C217)&gt;0,"รายรับ",IF(COUNTIF(ตั้งค่า!$C$7:$C$31,C217)&gt;0,"รายจ่าย","ไม่พบหมวดหมู่")))</f>
        <v/>
      </c>
      <c r="E217" s="25"/>
      <c r="F217" s="24"/>
      <c r="G217" s="24"/>
      <c r="H217" s="21" t="n">
        <f aca="false">IF(OR(E217="",D217&lt;&gt;"รายรับ"),0,E217)</f>
        <v>0</v>
      </c>
      <c r="I217" s="21" t="n">
        <f aca="false">IF(OR(E217="",D217&lt;&gt;"รายจ่าย"),0,E217)</f>
        <v>0</v>
      </c>
      <c r="J217" s="21" t="str">
        <f aca="false">IF(E217="","",ตั้งค่า!$B$4+SUM($H$5:H217)-SUM($I$5:I217))</f>
        <v/>
      </c>
      <c r="K217" s="22" t="str">
        <f aca="false">IF(A217="","",MONTH(A217))</f>
        <v/>
      </c>
      <c r="L217" s="22" t="str">
        <f aca="false">IF(A217="","",YEAR(A217))</f>
        <v/>
      </c>
    </row>
    <row r="218" customFormat="false" ht="15" hidden="false" customHeight="false" outlineLevel="0" collapsed="false">
      <c r="A218" s="23"/>
      <c r="B218" s="24"/>
      <c r="C218" s="24"/>
      <c r="D218" s="20" t="str">
        <f aca="false">IF(C218="","",IF(COUNTIF(ตั้งค่า!$A$7:$A$18,C218)&gt;0,"รายรับ",IF(COUNTIF(ตั้งค่า!$C$7:$C$31,C218)&gt;0,"รายจ่าย","ไม่พบหมวดหมู่")))</f>
        <v/>
      </c>
      <c r="E218" s="25"/>
      <c r="F218" s="24"/>
      <c r="G218" s="24"/>
      <c r="H218" s="21" t="n">
        <f aca="false">IF(OR(E218="",D218&lt;&gt;"รายรับ"),0,E218)</f>
        <v>0</v>
      </c>
      <c r="I218" s="21" t="n">
        <f aca="false">IF(OR(E218="",D218&lt;&gt;"รายจ่าย"),0,E218)</f>
        <v>0</v>
      </c>
      <c r="J218" s="21" t="str">
        <f aca="false">IF(E218="","",ตั้งค่า!$B$4+SUM($H$5:H218)-SUM($I$5:I218))</f>
        <v/>
      </c>
      <c r="K218" s="22" t="str">
        <f aca="false">IF(A218="","",MONTH(A218))</f>
        <v/>
      </c>
      <c r="L218" s="22" t="str">
        <f aca="false">IF(A218="","",YEAR(A218))</f>
        <v/>
      </c>
    </row>
    <row r="219" customFormat="false" ht="15" hidden="false" customHeight="false" outlineLevel="0" collapsed="false">
      <c r="A219" s="23"/>
      <c r="B219" s="24"/>
      <c r="C219" s="24"/>
      <c r="D219" s="20" t="str">
        <f aca="false">IF(C219="","",IF(COUNTIF(ตั้งค่า!$A$7:$A$18,C219)&gt;0,"รายรับ",IF(COUNTIF(ตั้งค่า!$C$7:$C$31,C219)&gt;0,"รายจ่าย","ไม่พบหมวดหมู่")))</f>
        <v/>
      </c>
      <c r="E219" s="25"/>
      <c r="F219" s="24"/>
      <c r="G219" s="24"/>
      <c r="H219" s="21" t="n">
        <f aca="false">IF(OR(E219="",D219&lt;&gt;"รายรับ"),0,E219)</f>
        <v>0</v>
      </c>
      <c r="I219" s="21" t="n">
        <f aca="false">IF(OR(E219="",D219&lt;&gt;"รายจ่าย"),0,E219)</f>
        <v>0</v>
      </c>
      <c r="J219" s="21" t="str">
        <f aca="false">IF(E219="","",ตั้งค่า!$B$4+SUM($H$5:H219)-SUM($I$5:I219))</f>
        <v/>
      </c>
      <c r="K219" s="22" t="str">
        <f aca="false">IF(A219="","",MONTH(A219))</f>
        <v/>
      </c>
      <c r="L219" s="22" t="str">
        <f aca="false">IF(A219="","",YEAR(A219))</f>
        <v/>
      </c>
    </row>
    <row r="220" customFormat="false" ht="15" hidden="false" customHeight="false" outlineLevel="0" collapsed="false">
      <c r="A220" s="23"/>
      <c r="B220" s="24"/>
      <c r="C220" s="24"/>
      <c r="D220" s="20" t="str">
        <f aca="false">IF(C220="","",IF(COUNTIF(ตั้งค่า!$A$7:$A$18,C220)&gt;0,"รายรับ",IF(COUNTIF(ตั้งค่า!$C$7:$C$31,C220)&gt;0,"รายจ่าย","ไม่พบหมวดหมู่")))</f>
        <v/>
      </c>
      <c r="E220" s="25"/>
      <c r="F220" s="24"/>
      <c r="G220" s="24"/>
      <c r="H220" s="21" t="n">
        <f aca="false">IF(OR(E220="",D220&lt;&gt;"รายรับ"),0,E220)</f>
        <v>0</v>
      </c>
      <c r="I220" s="21" t="n">
        <f aca="false">IF(OR(E220="",D220&lt;&gt;"รายจ่าย"),0,E220)</f>
        <v>0</v>
      </c>
      <c r="J220" s="21" t="str">
        <f aca="false">IF(E220="","",ตั้งค่า!$B$4+SUM($H$5:H220)-SUM($I$5:I220))</f>
        <v/>
      </c>
      <c r="K220" s="22" t="str">
        <f aca="false">IF(A220="","",MONTH(A220))</f>
        <v/>
      </c>
      <c r="L220" s="22" t="str">
        <f aca="false">IF(A220="","",YEAR(A220))</f>
        <v/>
      </c>
    </row>
    <row r="221" customFormat="false" ht="15" hidden="false" customHeight="false" outlineLevel="0" collapsed="false">
      <c r="A221" s="23"/>
      <c r="B221" s="24"/>
      <c r="C221" s="24"/>
      <c r="D221" s="20" t="str">
        <f aca="false">IF(C221="","",IF(COUNTIF(ตั้งค่า!$A$7:$A$18,C221)&gt;0,"รายรับ",IF(COUNTIF(ตั้งค่า!$C$7:$C$31,C221)&gt;0,"รายจ่าย","ไม่พบหมวดหมู่")))</f>
        <v/>
      </c>
      <c r="E221" s="25"/>
      <c r="F221" s="24"/>
      <c r="G221" s="24"/>
      <c r="H221" s="21" t="n">
        <f aca="false">IF(OR(E221="",D221&lt;&gt;"รายรับ"),0,E221)</f>
        <v>0</v>
      </c>
      <c r="I221" s="21" t="n">
        <f aca="false">IF(OR(E221="",D221&lt;&gt;"รายจ่าย"),0,E221)</f>
        <v>0</v>
      </c>
      <c r="J221" s="21" t="str">
        <f aca="false">IF(E221="","",ตั้งค่า!$B$4+SUM($H$5:H221)-SUM($I$5:I221))</f>
        <v/>
      </c>
      <c r="K221" s="22" t="str">
        <f aca="false">IF(A221="","",MONTH(A221))</f>
        <v/>
      </c>
      <c r="L221" s="22" t="str">
        <f aca="false">IF(A221="","",YEAR(A221))</f>
        <v/>
      </c>
    </row>
    <row r="222" customFormat="false" ht="15" hidden="false" customHeight="false" outlineLevel="0" collapsed="false">
      <c r="A222" s="23"/>
      <c r="B222" s="24"/>
      <c r="C222" s="24"/>
      <c r="D222" s="20" t="str">
        <f aca="false">IF(C222="","",IF(COUNTIF(ตั้งค่า!$A$7:$A$18,C222)&gt;0,"รายรับ",IF(COUNTIF(ตั้งค่า!$C$7:$C$31,C222)&gt;0,"รายจ่าย","ไม่พบหมวดหมู่")))</f>
        <v/>
      </c>
      <c r="E222" s="25"/>
      <c r="F222" s="24"/>
      <c r="G222" s="24"/>
      <c r="H222" s="21" t="n">
        <f aca="false">IF(OR(E222="",D222&lt;&gt;"รายรับ"),0,E222)</f>
        <v>0</v>
      </c>
      <c r="I222" s="21" t="n">
        <f aca="false">IF(OR(E222="",D222&lt;&gt;"รายจ่าย"),0,E222)</f>
        <v>0</v>
      </c>
      <c r="J222" s="21" t="str">
        <f aca="false">IF(E222="","",ตั้งค่า!$B$4+SUM($H$5:H222)-SUM($I$5:I222))</f>
        <v/>
      </c>
      <c r="K222" s="22" t="str">
        <f aca="false">IF(A222="","",MONTH(A222))</f>
        <v/>
      </c>
      <c r="L222" s="22" t="str">
        <f aca="false">IF(A222="","",YEAR(A222))</f>
        <v/>
      </c>
    </row>
    <row r="223" customFormat="false" ht="15" hidden="false" customHeight="false" outlineLevel="0" collapsed="false">
      <c r="A223" s="23"/>
      <c r="B223" s="24"/>
      <c r="C223" s="24"/>
      <c r="D223" s="20" t="str">
        <f aca="false">IF(C223="","",IF(COUNTIF(ตั้งค่า!$A$7:$A$18,C223)&gt;0,"รายรับ",IF(COUNTIF(ตั้งค่า!$C$7:$C$31,C223)&gt;0,"รายจ่าย","ไม่พบหมวดหมู่")))</f>
        <v/>
      </c>
      <c r="E223" s="25"/>
      <c r="F223" s="24"/>
      <c r="G223" s="24"/>
      <c r="H223" s="21" t="n">
        <f aca="false">IF(OR(E223="",D223&lt;&gt;"รายรับ"),0,E223)</f>
        <v>0</v>
      </c>
      <c r="I223" s="21" t="n">
        <f aca="false">IF(OR(E223="",D223&lt;&gt;"รายจ่าย"),0,E223)</f>
        <v>0</v>
      </c>
      <c r="J223" s="21" t="str">
        <f aca="false">IF(E223="","",ตั้งค่า!$B$4+SUM($H$5:H223)-SUM($I$5:I223))</f>
        <v/>
      </c>
      <c r="K223" s="22" t="str">
        <f aca="false">IF(A223="","",MONTH(A223))</f>
        <v/>
      </c>
      <c r="L223" s="22" t="str">
        <f aca="false">IF(A223="","",YEAR(A223))</f>
        <v/>
      </c>
    </row>
    <row r="224" customFormat="false" ht="15" hidden="false" customHeight="false" outlineLevel="0" collapsed="false">
      <c r="A224" s="23"/>
      <c r="B224" s="24"/>
      <c r="C224" s="24"/>
      <c r="D224" s="20" t="str">
        <f aca="false">IF(C224="","",IF(COUNTIF(ตั้งค่า!$A$7:$A$18,C224)&gt;0,"รายรับ",IF(COUNTIF(ตั้งค่า!$C$7:$C$31,C224)&gt;0,"รายจ่าย","ไม่พบหมวดหมู่")))</f>
        <v/>
      </c>
      <c r="E224" s="25"/>
      <c r="F224" s="24"/>
      <c r="G224" s="24"/>
      <c r="H224" s="21" t="n">
        <f aca="false">IF(OR(E224="",D224&lt;&gt;"รายรับ"),0,E224)</f>
        <v>0</v>
      </c>
      <c r="I224" s="21" t="n">
        <f aca="false">IF(OR(E224="",D224&lt;&gt;"รายจ่าย"),0,E224)</f>
        <v>0</v>
      </c>
      <c r="J224" s="21" t="str">
        <f aca="false">IF(E224="","",ตั้งค่า!$B$4+SUM($H$5:H224)-SUM($I$5:I224))</f>
        <v/>
      </c>
      <c r="K224" s="22" t="str">
        <f aca="false">IF(A224="","",MONTH(A224))</f>
        <v/>
      </c>
      <c r="L224" s="22" t="str">
        <f aca="false">IF(A224="","",YEAR(A224))</f>
        <v/>
      </c>
    </row>
    <row r="225" customFormat="false" ht="15" hidden="false" customHeight="false" outlineLevel="0" collapsed="false">
      <c r="A225" s="23"/>
      <c r="B225" s="24"/>
      <c r="C225" s="24"/>
      <c r="D225" s="20" t="str">
        <f aca="false">IF(C225="","",IF(COUNTIF(ตั้งค่า!$A$7:$A$18,C225)&gt;0,"รายรับ",IF(COUNTIF(ตั้งค่า!$C$7:$C$31,C225)&gt;0,"รายจ่าย","ไม่พบหมวดหมู่")))</f>
        <v/>
      </c>
      <c r="E225" s="25"/>
      <c r="F225" s="24"/>
      <c r="G225" s="24"/>
      <c r="H225" s="21" t="n">
        <f aca="false">IF(OR(E225="",D225&lt;&gt;"รายรับ"),0,E225)</f>
        <v>0</v>
      </c>
      <c r="I225" s="21" t="n">
        <f aca="false">IF(OR(E225="",D225&lt;&gt;"รายจ่าย"),0,E225)</f>
        <v>0</v>
      </c>
      <c r="J225" s="21" t="str">
        <f aca="false">IF(E225="","",ตั้งค่า!$B$4+SUM($H$5:H225)-SUM($I$5:I225))</f>
        <v/>
      </c>
      <c r="K225" s="22" t="str">
        <f aca="false">IF(A225="","",MONTH(A225))</f>
        <v/>
      </c>
      <c r="L225" s="22" t="str">
        <f aca="false">IF(A225="","",YEAR(A225))</f>
        <v/>
      </c>
    </row>
    <row r="226" customFormat="false" ht="15" hidden="false" customHeight="false" outlineLevel="0" collapsed="false">
      <c r="A226" s="23"/>
      <c r="B226" s="24"/>
      <c r="C226" s="24"/>
      <c r="D226" s="20" t="str">
        <f aca="false">IF(C226="","",IF(COUNTIF(ตั้งค่า!$A$7:$A$18,C226)&gt;0,"รายรับ",IF(COUNTIF(ตั้งค่า!$C$7:$C$31,C226)&gt;0,"รายจ่าย","ไม่พบหมวดหมู่")))</f>
        <v/>
      </c>
      <c r="E226" s="25"/>
      <c r="F226" s="24"/>
      <c r="G226" s="24"/>
      <c r="H226" s="21" t="n">
        <f aca="false">IF(OR(E226="",D226&lt;&gt;"รายรับ"),0,E226)</f>
        <v>0</v>
      </c>
      <c r="I226" s="21" t="n">
        <f aca="false">IF(OR(E226="",D226&lt;&gt;"รายจ่าย"),0,E226)</f>
        <v>0</v>
      </c>
      <c r="J226" s="21" t="str">
        <f aca="false">IF(E226="","",ตั้งค่า!$B$4+SUM($H$5:H226)-SUM($I$5:I226))</f>
        <v/>
      </c>
      <c r="K226" s="22" t="str">
        <f aca="false">IF(A226="","",MONTH(A226))</f>
        <v/>
      </c>
      <c r="L226" s="22" t="str">
        <f aca="false">IF(A226="","",YEAR(A226))</f>
        <v/>
      </c>
    </row>
    <row r="227" customFormat="false" ht="15" hidden="false" customHeight="false" outlineLevel="0" collapsed="false">
      <c r="A227" s="23"/>
      <c r="B227" s="24"/>
      <c r="C227" s="24"/>
      <c r="D227" s="20" t="str">
        <f aca="false">IF(C227="","",IF(COUNTIF(ตั้งค่า!$A$7:$A$18,C227)&gt;0,"รายรับ",IF(COUNTIF(ตั้งค่า!$C$7:$C$31,C227)&gt;0,"รายจ่าย","ไม่พบหมวดหมู่")))</f>
        <v/>
      </c>
      <c r="E227" s="25"/>
      <c r="F227" s="24"/>
      <c r="G227" s="24"/>
      <c r="H227" s="21" t="n">
        <f aca="false">IF(OR(E227="",D227&lt;&gt;"รายรับ"),0,E227)</f>
        <v>0</v>
      </c>
      <c r="I227" s="21" t="n">
        <f aca="false">IF(OR(E227="",D227&lt;&gt;"รายจ่าย"),0,E227)</f>
        <v>0</v>
      </c>
      <c r="J227" s="21" t="str">
        <f aca="false">IF(E227="","",ตั้งค่า!$B$4+SUM($H$5:H227)-SUM($I$5:I227))</f>
        <v/>
      </c>
      <c r="K227" s="22" t="str">
        <f aca="false">IF(A227="","",MONTH(A227))</f>
        <v/>
      </c>
      <c r="L227" s="22" t="str">
        <f aca="false">IF(A227="","",YEAR(A227))</f>
        <v/>
      </c>
    </row>
    <row r="228" customFormat="false" ht="15" hidden="false" customHeight="false" outlineLevel="0" collapsed="false">
      <c r="A228" s="23"/>
      <c r="B228" s="24"/>
      <c r="C228" s="24"/>
      <c r="D228" s="20" t="str">
        <f aca="false">IF(C228="","",IF(COUNTIF(ตั้งค่า!$A$7:$A$18,C228)&gt;0,"รายรับ",IF(COUNTIF(ตั้งค่า!$C$7:$C$31,C228)&gt;0,"รายจ่าย","ไม่พบหมวดหมู่")))</f>
        <v/>
      </c>
      <c r="E228" s="25"/>
      <c r="F228" s="24"/>
      <c r="G228" s="24"/>
      <c r="H228" s="21" t="n">
        <f aca="false">IF(OR(E228="",D228&lt;&gt;"รายรับ"),0,E228)</f>
        <v>0</v>
      </c>
      <c r="I228" s="21" t="n">
        <f aca="false">IF(OR(E228="",D228&lt;&gt;"รายจ่าย"),0,E228)</f>
        <v>0</v>
      </c>
      <c r="J228" s="21" t="str">
        <f aca="false">IF(E228="","",ตั้งค่า!$B$4+SUM($H$5:H228)-SUM($I$5:I228))</f>
        <v/>
      </c>
      <c r="K228" s="22" t="str">
        <f aca="false">IF(A228="","",MONTH(A228))</f>
        <v/>
      </c>
      <c r="L228" s="22" t="str">
        <f aca="false">IF(A228="","",YEAR(A228))</f>
        <v/>
      </c>
    </row>
    <row r="229" customFormat="false" ht="15" hidden="false" customHeight="false" outlineLevel="0" collapsed="false">
      <c r="A229" s="23"/>
      <c r="B229" s="24"/>
      <c r="C229" s="24"/>
      <c r="D229" s="20" t="str">
        <f aca="false">IF(C229="","",IF(COUNTIF(ตั้งค่า!$A$7:$A$18,C229)&gt;0,"รายรับ",IF(COUNTIF(ตั้งค่า!$C$7:$C$31,C229)&gt;0,"รายจ่าย","ไม่พบหมวดหมู่")))</f>
        <v/>
      </c>
      <c r="E229" s="25"/>
      <c r="F229" s="24"/>
      <c r="G229" s="24"/>
      <c r="H229" s="21" t="n">
        <f aca="false">IF(OR(E229="",D229&lt;&gt;"รายรับ"),0,E229)</f>
        <v>0</v>
      </c>
      <c r="I229" s="21" t="n">
        <f aca="false">IF(OR(E229="",D229&lt;&gt;"รายจ่าย"),0,E229)</f>
        <v>0</v>
      </c>
      <c r="J229" s="21" t="str">
        <f aca="false">IF(E229="","",ตั้งค่า!$B$4+SUM($H$5:H229)-SUM($I$5:I229))</f>
        <v/>
      </c>
      <c r="K229" s="22" t="str">
        <f aca="false">IF(A229="","",MONTH(A229))</f>
        <v/>
      </c>
      <c r="L229" s="22" t="str">
        <f aca="false">IF(A229="","",YEAR(A229))</f>
        <v/>
      </c>
    </row>
    <row r="230" customFormat="false" ht="15" hidden="false" customHeight="false" outlineLevel="0" collapsed="false">
      <c r="A230" s="23"/>
      <c r="B230" s="24"/>
      <c r="C230" s="24"/>
      <c r="D230" s="20" t="str">
        <f aca="false">IF(C230="","",IF(COUNTIF(ตั้งค่า!$A$7:$A$18,C230)&gt;0,"รายรับ",IF(COUNTIF(ตั้งค่า!$C$7:$C$31,C230)&gt;0,"รายจ่าย","ไม่พบหมวดหมู่")))</f>
        <v/>
      </c>
      <c r="E230" s="25"/>
      <c r="F230" s="24"/>
      <c r="G230" s="24"/>
      <c r="H230" s="21" t="n">
        <f aca="false">IF(OR(E230="",D230&lt;&gt;"รายรับ"),0,E230)</f>
        <v>0</v>
      </c>
      <c r="I230" s="21" t="n">
        <f aca="false">IF(OR(E230="",D230&lt;&gt;"รายจ่าย"),0,E230)</f>
        <v>0</v>
      </c>
      <c r="J230" s="21" t="str">
        <f aca="false">IF(E230="","",ตั้งค่า!$B$4+SUM($H$5:H230)-SUM($I$5:I230))</f>
        <v/>
      </c>
      <c r="K230" s="22" t="str">
        <f aca="false">IF(A230="","",MONTH(A230))</f>
        <v/>
      </c>
      <c r="L230" s="22" t="str">
        <f aca="false">IF(A230="","",YEAR(A230))</f>
        <v/>
      </c>
    </row>
    <row r="231" customFormat="false" ht="15" hidden="false" customHeight="false" outlineLevel="0" collapsed="false">
      <c r="A231" s="23"/>
      <c r="B231" s="24"/>
      <c r="C231" s="24"/>
      <c r="D231" s="20" t="str">
        <f aca="false">IF(C231="","",IF(COUNTIF(ตั้งค่า!$A$7:$A$18,C231)&gt;0,"รายรับ",IF(COUNTIF(ตั้งค่า!$C$7:$C$31,C231)&gt;0,"รายจ่าย","ไม่พบหมวดหมู่")))</f>
        <v/>
      </c>
      <c r="E231" s="25"/>
      <c r="F231" s="24"/>
      <c r="G231" s="24"/>
      <c r="H231" s="21" t="n">
        <f aca="false">IF(OR(E231="",D231&lt;&gt;"รายรับ"),0,E231)</f>
        <v>0</v>
      </c>
      <c r="I231" s="21" t="n">
        <f aca="false">IF(OR(E231="",D231&lt;&gt;"รายจ่าย"),0,E231)</f>
        <v>0</v>
      </c>
      <c r="J231" s="21" t="str">
        <f aca="false">IF(E231="","",ตั้งค่า!$B$4+SUM($H$5:H231)-SUM($I$5:I231))</f>
        <v/>
      </c>
      <c r="K231" s="22" t="str">
        <f aca="false">IF(A231="","",MONTH(A231))</f>
        <v/>
      </c>
      <c r="L231" s="22" t="str">
        <f aca="false">IF(A231="","",YEAR(A231))</f>
        <v/>
      </c>
    </row>
    <row r="232" customFormat="false" ht="15" hidden="false" customHeight="false" outlineLevel="0" collapsed="false">
      <c r="A232" s="23"/>
      <c r="B232" s="24"/>
      <c r="C232" s="24"/>
      <c r="D232" s="20" t="str">
        <f aca="false">IF(C232="","",IF(COUNTIF(ตั้งค่า!$A$7:$A$18,C232)&gt;0,"รายรับ",IF(COUNTIF(ตั้งค่า!$C$7:$C$31,C232)&gt;0,"รายจ่าย","ไม่พบหมวดหมู่")))</f>
        <v/>
      </c>
      <c r="E232" s="25"/>
      <c r="F232" s="24"/>
      <c r="G232" s="24"/>
      <c r="H232" s="21" t="n">
        <f aca="false">IF(OR(E232="",D232&lt;&gt;"รายรับ"),0,E232)</f>
        <v>0</v>
      </c>
      <c r="I232" s="21" t="n">
        <f aca="false">IF(OR(E232="",D232&lt;&gt;"รายจ่าย"),0,E232)</f>
        <v>0</v>
      </c>
      <c r="J232" s="21" t="str">
        <f aca="false">IF(E232="","",ตั้งค่า!$B$4+SUM($H$5:H232)-SUM($I$5:I232))</f>
        <v/>
      </c>
      <c r="K232" s="22" t="str">
        <f aca="false">IF(A232="","",MONTH(A232))</f>
        <v/>
      </c>
      <c r="L232" s="22" t="str">
        <f aca="false">IF(A232="","",YEAR(A232))</f>
        <v/>
      </c>
    </row>
    <row r="233" customFormat="false" ht="15" hidden="false" customHeight="false" outlineLevel="0" collapsed="false">
      <c r="A233" s="23"/>
      <c r="B233" s="24"/>
      <c r="C233" s="24"/>
      <c r="D233" s="20" t="str">
        <f aca="false">IF(C233="","",IF(COUNTIF(ตั้งค่า!$A$7:$A$18,C233)&gt;0,"รายรับ",IF(COUNTIF(ตั้งค่า!$C$7:$C$31,C233)&gt;0,"รายจ่าย","ไม่พบหมวดหมู่")))</f>
        <v/>
      </c>
      <c r="E233" s="25"/>
      <c r="F233" s="24"/>
      <c r="G233" s="24"/>
      <c r="H233" s="21" t="n">
        <f aca="false">IF(OR(E233="",D233&lt;&gt;"รายรับ"),0,E233)</f>
        <v>0</v>
      </c>
      <c r="I233" s="21" t="n">
        <f aca="false">IF(OR(E233="",D233&lt;&gt;"รายจ่าย"),0,E233)</f>
        <v>0</v>
      </c>
      <c r="J233" s="21" t="str">
        <f aca="false">IF(E233="","",ตั้งค่า!$B$4+SUM($H$5:H233)-SUM($I$5:I233))</f>
        <v/>
      </c>
      <c r="K233" s="22" t="str">
        <f aca="false">IF(A233="","",MONTH(A233))</f>
        <v/>
      </c>
      <c r="L233" s="22" t="str">
        <f aca="false">IF(A233="","",YEAR(A233))</f>
        <v/>
      </c>
    </row>
    <row r="234" customFormat="false" ht="15" hidden="false" customHeight="false" outlineLevel="0" collapsed="false">
      <c r="A234" s="23"/>
      <c r="B234" s="24"/>
      <c r="C234" s="24"/>
      <c r="D234" s="20" t="str">
        <f aca="false">IF(C234="","",IF(COUNTIF(ตั้งค่า!$A$7:$A$18,C234)&gt;0,"รายรับ",IF(COUNTIF(ตั้งค่า!$C$7:$C$31,C234)&gt;0,"รายจ่าย","ไม่พบหมวดหมู่")))</f>
        <v/>
      </c>
      <c r="E234" s="25"/>
      <c r="F234" s="24"/>
      <c r="G234" s="24"/>
      <c r="H234" s="21" t="n">
        <f aca="false">IF(OR(E234="",D234&lt;&gt;"รายรับ"),0,E234)</f>
        <v>0</v>
      </c>
      <c r="I234" s="21" t="n">
        <f aca="false">IF(OR(E234="",D234&lt;&gt;"รายจ่าย"),0,E234)</f>
        <v>0</v>
      </c>
      <c r="J234" s="21" t="str">
        <f aca="false">IF(E234="","",ตั้งค่า!$B$4+SUM($H$5:H234)-SUM($I$5:I234))</f>
        <v/>
      </c>
      <c r="K234" s="22" t="str">
        <f aca="false">IF(A234="","",MONTH(A234))</f>
        <v/>
      </c>
      <c r="L234" s="22" t="str">
        <f aca="false">IF(A234="","",YEAR(A234))</f>
        <v/>
      </c>
    </row>
    <row r="235" customFormat="false" ht="15" hidden="false" customHeight="false" outlineLevel="0" collapsed="false">
      <c r="A235" s="23"/>
      <c r="B235" s="24"/>
      <c r="C235" s="24"/>
      <c r="D235" s="20" t="str">
        <f aca="false">IF(C235="","",IF(COUNTIF(ตั้งค่า!$A$7:$A$18,C235)&gt;0,"รายรับ",IF(COUNTIF(ตั้งค่า!$C$7:$C$31,C235)&gt;0,"รายจ่าย","ไม่พบหมวดหมู่")))</f>
        <v/>
      </c>
      <c r="E235" s="25"/>
      <c r="F235" s="24"/>
      <c r="G235" s="24"/>
      <c r="H235" s="21" t="n">
        <f aca="false">IF(OR(E235="",D235&lt;&gt;"รายรับ"),0,E235)</f>
        <v>0</v>
      </c>
      <c r="I235" s="21" t="n">
        <f aca="false">IF(OR(E235="",D235&lt;&gt;"รายจ่าย"),0,E235)</f>
        <v>0</v>
      </c>
      <c r="J235" s="21" t="str">
        <f aca="false">IF(E235="","",ตั้งค่า!$B$4+SUM($H$5:H235)-SUM($I$5:I235))</f>
        <v/>
      </c>
      <c r="K235" s="22" t="str">
        <f aca="false">IF(A235="","",MONTH(A235))</f>
        <v/>
      </c>
      <c r="L235" s="22" t="str">
        <f aca="false">IF(A235="","",YEAR(A235))</f>
        <v/>
      </c>
    </row>
    <row r="236" customFormat="false" ht="15" hidden="false" customHeight="false" outlineLevel="0" collapsed="false">
      <c r="A236" s="23"/>
      <c r="B236" s="24"/>
      <c r="C236" s="24"/>
      <c r="D236" s="20" t="str">
        <f aca="false">IF(C236="","",IF(COUNTIF(ตั้งค่า!$A$7:$A$18,C236)&gt;0,"รายรับ",IF(COUNTIF(ตั้งค่า!$C$7:$C$31,C236)&gt;0,"รายจ่าย","ไม่พบหมวดหมู่")))</f>
        <v/>
      </c>
      <c r="E236" s="25"/>
      <c r="F236" s="24"/>
      <c r="G236" s="24"/>
      <c r="H236" s="21" t="n">
        <f aca="false">IF(OR(E236="",D236&lt;&gt;"รายรับ"),0,E236)</f>
        <v>0</v>
      </c>
      <c r="I236" s="21" t="n">
        <f aca="false">IF(OR(E236="",D236&lt;&gt;"รายจ่าย"),0,E236)</f>
        <v>0</v>
      </c>
      <c r="J236" s="21" t="str">
        <f aca="false">IF(E236="","",ตั้งค่า!$B$4+SUM($H$5:H236)-SUM($I$5:I236))</f>
        <v/>
      </c>
      <c r="K236" s="22" t="str">
        <f aca="false">IF(A236="","",MONTH(A236))</f>
        <v/>
      </c>
      <c r="L236" s="22" t="str">
        <f aca="false">IF(A236="","",YEAR(A236))</f>
        <v/>
      </c>
    </row>
    <row r="237" customFormat="false" ht="15" hidden="false" customHeight="false" outlineLevel="0" collapsed="false">
      <c r="A237" s="23"/>
      <c r="B237" s="24"/>
      <c r="C237" s="24"/>
      <c r="D237" s="20" t="str">
        <f aca="false">IF(C237="","",IF(COUNTIF(ตั้งค่า!$A$7:$A$18,C237)&gt;0,"รายรับ",IF(COUNTIF(ตั้งค่า!$C$7:$C$31,C237)&gt;0,"รายจ่าย","ไม่พบหมวดหมู่")))</f>
        <v/>
      </c>
      <c r="E237" s="25"/>
      <c r="F237" s="24"/>
      <c r="G237" s="24"/>
      <c r="H237" s="21" t="n">
        <f aca="false">IF(OR(E237="",D237&lt;&gt;"รายรับ"),0,E237)</f>
        <v>0</v>
      </c>
      <c r="I237" s="21" t="n">
        <f aca="false">IF(OR(E237="",D237&lt;&gt;"รายจ่าย"),0,E237)</f>
        <v>0</v>
      </c>
      <c r="J237" s="21" t="str">
        <f aca="false">IF(E237="","",ตั้งค่า!$B$4+SUM($H$5:H237)-SUM($I$5:I237))</f>
        <v/>
      </c>
      <c r="K237" s="22" t="str">
        <f aca="false">IF(A237="","",MONTH(A237))</f>
        <v/>
      </c>
      <c r="L237" s="22" t="str">
        <f aca="false">IF(A237="","",YEAR(A237))</f>
        <v/>
      </c>
    </row>
    <row r="238" customFormat="false" ht="15" hidden="false" customHeight="false" outlineLevel="0" collapsed="false">
      <c r="A238" s="23"/>
      <c r="B238" s="24"/>
      <c r="C238" s="24"/>
      <c r="D238" s="20" t="str">
        <f aca="false">IF(C238="","",IF(COUNTIF(ตั้งค่า!$A$7:$A$18,C238)&gt;0,"รายรับ",IF(COUNTIF(ตั้งค่า!$C$7:$C$31,C238)&gt;0,"รายจ่าย","ไม่พบหมวดหมู่")))</f>
        <v/>
      </c>
      <c r="E238" s="25"/>
      <c r="F238" s="24"/>
      <c r="G238" s="24"/>
      <c r="H238" s="21" t="n">
        <f aca="false">IF(OR(E238="",D238&lt;&gt;"รายรับ"),0,E238)</f>
        <v>0</v>
      </c>
      <c r="I238" s="21" t="n">
        <f aca="false">IF(OR(E238="",D238&lt;&gt;"รายจ่าย"),0,E238)</f>
        <v>0</v>
      </c>
      <c r="J238" s="21" t="str">
        <f aca="false">IF(E238="","",ตั้งค่า!$B$4+SUM($H$5:H238)-SUM($I$5:I238))</f>
        <v/>
      </c>
      <c r="K238" s="22" t="str">
        <f aca="false">IF(A238="","",MONTH(A238))</f>
        <v/>
      </c>
      <c r="L238" s="22" t="str">
        <f aca="false">IF(A238="","",YEAR(A238))</f>
        <v/>
      </c>
    </row>
    <row r="239" customFormat="false" ht="15" hidden="false" customHeight="false" outlineLevel="0" collapsed="false">
      <c r="A239" s="23"/>
      <c r="B239" s="24"/>
      <c r="C239" s="24"/>
      <c r="D239" s="20" t="str">
        <f aca="false">IF(C239="","",IF(COUNTIF(ตั้งค่า!$A$7:$A$18,C239)&gt;0,"รายรับ",IF(COUNTIF(ตั้งค่า!$C$7:$C$31,C239)&gt;0,"รายจ่าย","ไม่พบหมวดหมู่")))</f>
        <v/>
      </c>
      <c r="E239" s="25"/>
      <c r="F239" s="24"/>
      <c r="G239" s="24"/>
      <c r="H239" s="21" t="n">
        <f aca="false">IF(OR(E239="",D239&lt;&gt;"รายรับ"),0,E239)</f>
        <v>0</v>
      </c>
      <c r="I239" s="21" t="n">
        <f aca="false">IF(OR(E239="",D239&lt;&gt;"รายจ่าย"),0,E239)</f>
        <v>0</v>
      </c>
      <c r="J239" s="21" t="str">
        <f aca="false">IF(E239="","",ตั้งค่า!$B$4+SUM($H$5:H239)-SUM($I$5:I239))</f>
        <v/>
      </c>
      <c r="K239" s="22" t="str">
        <f aca="false">IF(A239="","",MONTH(A239))</f>
        <v/>
      </c>
      <c r="L239" s="22" t="str">
        <f aca="false">IF(A239="","",YEAR(A239))</f>
        <v/>
      </c>
    </row>
    <row r="240" customFormat="false" ht="15" hidden="false" customHeight="false" outlineLevel="0" collapsed="false">
      <c r="A240" s="23"/>
      <c r="B240" s="24"/>
      <c r="C240" s="24"/>
      <c r="D240" s="20" t="str">
        <f aca="false">IF(C240="","",IF(COUNTIF(ตั้งค่า!$A$7:$A$18,C240)&gt;0,"รายรับ",IF(COUNTIF(ตั้งค่า!$C$7:$C$31,C240)&gt;0,"รายจ่าย","ไม่พบหมวดหมู่")))</f>
        <v/>
      </c>
      <c r="E240" s="25"/>
      <c r="F240" s="24"/>
      <c r="G240" s="24"/>
      <c r="H240" s="21" t="n">
        <f aca="false">IF(OR(E240="",D240&lt;&gt;"รายรับ"),0,E240)</f>
        <v>0</v>
      </c>
      <c r="I240" s="21" t="n">
        <f aca="false">IF(OR(E240="",D240&lt;&gt;"รายจ่าย"),0,E240)</f>
        <v>0</v>
      </c>
      <c r="J240" s="21" t="str">
        <f aca="false">IF(E240="","",ตั้งค่า!$B$4+SUM($H$5:H240)-SUM($I$5:I240))</f>
        <v/>
      </c>
      <c r="K240" s="22" t="str">
        <f aca="false">IF(A240="","",MONTH(A240))</f>
        <v/>
      </c>
      <c r="L240" s="22" t="str">
        <f aca="false">IF(A240="","",YEAR(A240))</f>
        <v/>
      </c>
    </row>
    <row r="241" customFormat="false" ht="15" hidden="false" customHeight="false" outlineLevel="0" collapsed="false">
      <c r="A241" s="23"/>
      <c r="B241" s="24"/>
      <c r="C241" s="24"/>
      <c r="D241" s="20" t="str">
        <f aca="false">IF(C241="","",IF(COUNTIF(ตั้งค่า!$A$7:$A$18,C241)&gt;0,"รายรับ",IF(COUNTIF(ตั้งค่า!$C$7:$C$31,C241)&gt;0,"รายจ่าย","ไม่พบหมวดหมู่")))</f>
        <v/>
      </c>
      <c r="E241" s="25"/>
      <c r="F241" s="24"/>
      <c r="G241" s="24"/>
      <c r="H241" s="21" t="n">
        <f aca="false">IF(OR(E241="",D241&lt;&gt;"รายรับ"),0,E241)</f>
        <v>0</v>
      </c>
      <c r="I241" s="21" t="n">
        <f aca="false">IF(OR(E241="",D241&lt;&gt;"รายจ่าย"),0,E241)</f>
        <v>0</v>
      </c>
      <c r="J241" s="21" t="str">
        <f aca="false">IF(E241="","",ตั้งค่า!$B$4+SUM($H$5:H241)-SUM($I$5:I241))</f>
        <v/>
      </c>
      <c r="K241" s="22" t="str">
        <f aca="false">IF(A241="","",MONTH(A241))</f>
        <v/>
      </c>
      <c r="L241" s="22" t="str">
        <f aca="false">IF(A241="","",YEAR(A241))</f>
        <v/>
      </c>
    </row>
    <row r="242" customFormat="false" ht="15" hidden="false" customHeight="false" outlineLevel="0" collapsed="false">
      <c r="A242" s="23"/>
      <c r="B242" s="24"/>
      <c r="C242" s="24"/>
      <c r="D242" s="20" t="str">
        <f aca="false">IF(C242="","",IF(COUNTIF(ตั้งค่า!$A$7:$A$18,C242)&gt;0,"รายรับ",IF(COUNTIF(ตั้งค่า!$C$7:$C$31,C242)&gt;0,"รายจ่าย","ไม่พบหมวดหมู่")))</f>
        <v/>
      </c>
      <c r="E242" s="25"/>
      <c r="F242" s="24"/>
      <c r="G242" s="24"/>
      <c r="H242" s="21" t="n">
        <f aca="false">IF(OR(E242="",D242&lt;&gt;"รายรับ"),0,E242)</f>
        <v>0</v>
      </c>
      <c r="I242" s="21" t="n">
        <f aca="false">IF(OR(E242="",D242&lt;&gt;"รายจ่าย"),0,E242)</f>
        <v>0</v>
      </c>
      <c r="J242" s="21" t="str">
        <f aca="false">IF(E242="","",ตั้งค่า!$B$4+SUM($H$5:H242)-SUM($I$5:I242))</f>
        <v/>
      </c>
      <c r="K242" s="22" t="str">
        <f aca="false">IF(A242="","",MONTH(A242))</f>
        <v/>
      </c>
      <c r="L242" s="22" t="str">
        <f aca="false">IF(A242="","",YEAR(A242))</f>
        <v/>
      </c>
    </row>
    <row r="243" customFormat="false" ht="15" hidden="false" customHeight="false" outlineLevel="0" collapsed="false">
      <c r="A243" s="23"/>
      <c r="B243" s="24"/>
      <c r="C243" s="24"/>
      <c r="D243" s="20" t="str">
        <f aca="false">IF(C243="","",IF(COUNTIF(ตั้งค่า!$A$7:$A$18,C243)&gt;0,"รายรับ",IF(COUNTIF(ตั้งค่า!$C$7:$C$31,C243)&gt;0,"รายจ่าย","ไม่พบหมวดหมู่")))</f>
        <v/>
      </c>
      <c r="E243" s="25"/>
      <c r="F243" s="24"/>
      <c r="G243" s="24"/>
      <c r="H243" s="21" t="n">
        <f aca="false">IF(OR(E243="",D243&lt;&gt;"รายรับ"),0,E243)</f>
        <v>0</v>
      </c>
      <c r="I243" s="21" t="n">
        <f aca="false">IF(OR(E243="",D243&lt;&gt;"รายจ่าย"),0,E243)</f>
        <v>0</v>
      </c>
      <c r="J243" s="21" t="str">
        <f aca="false">IF(E243="","",ตั้งค่า!$B$4+SUM($H$5:H243)-SUM($I$5:I243))</f>
        <v/>
      </c>
      <c r="K243" s="22" t="str">
        <f aca="false">IF(A243="","",MONTH(A243))</f>
        <v/>
      </c>
      <c r="L243" s="22" t="str">
        <f aca="false">IF(A243="","",YEAR(A243))</f>
        <v/>
      </c>
    </row>
    <row r="244" customFormat="false" ht="15" hidden="false" customHeight="false" outlineLevel="0" collapsed="false">
      <c r="A244" s="23"/>
      <c r="B244" s="24"/>
      <c r="C244" s="24"/>
      <c r="D244" s="20" t="str">
        <f aca="false">IF(C244="","",IF(COUNTIF(ตั้งค่า!$A$7:$A$18,C244)&gt;0,"รายรับ",IF(COUNTIF(ตั้งค่า!$C$7:$C$31,C244)&gt;0,"รายจ่าย","ไม่พบหมวดหมู่")))</f>
        <v/>
      </c>
      <c r="E244" s="25"/>
      <c r="F244" s="24"/>
      <c r="G244" s="24"/>
      <c r="H244" s="21" t="n">
        <f aca="false">IF(OR(E244="",D244&lt;&gt;"รายรับ"),0,E244)</f>
        <v>0</v>
      </c>
      <c r="I244" s="21" t="n">
        <f aca="false">IF(OR(E244="",D244&lt;&gt;"รายจ่าย"),0,E244)</f>
        <v>0</v>
      </c>
      <c r="J244" s="21" t="str">
        <f aca="false">IF(E244="","",ตั้งค่า!$B$4+SUM($H$5:H244)-SUM($I$5:I244))</f>
        <v/>
      </c>
      <c r="K244" s="22" t="str">
        <f aca="false">IF(A244="","",MONTH(A244))</f>
        <v/>
      </c>
      <c r="L244" s="22" t="str">
        <f aca="false">IF(A244="","",YEAR(A244))</f>
        <v/>
      </c>
    </row>
    <row r="245" customFormat="false" ht="15" hidden="false" customHeight="false" outlineLevel="0" collapsed="false">
      <c r="A245" s="23"/>
      <c r="B245" s="24"/>
      <c r="C245" s="24"/>
      <c r="D245" s="20" t="str">
        <f aca="false">IF(C245="","",IF(COUNTIF(ตั้งค่า!$A$7:$A$18,C245)&gt;0,"รายรับ",IF(COUNTIF(ตั้งค่า!$C$7:$C$31,C245)&gt;0,"รายจ่าย","ไม่พบหมวดหมู่")))</f>
        <v/>
      </c>
      <c r="E245" s="25"/>
      <c r="F245" s="24"/>
      <c r="G245" s="24"/>
      <c r="H245" s="21" t="n">
        <f aca="false">IF(OR(E245="",D245&lt;&gt;"รายรับ"),0,E245)</f>
        <v>0</v>
      </c>
      <c r="I245" s="21" t="n">
        <f aca="false">IF(OR(E245="",D245&lt;&gt;"รายจ่าย"),0,E245)</f>
        <v>0</v>
      </c>
      <c r="J245" s="21" t="str">
        <f aca="false">IF(E245="","",ตั้งค่า!$B$4+SUM($H$5:H245)-SUM($I$5:I245))</f>
        <v/>
      </c>
      <c r="K245" s="22" t="str">
        <f aca="false">IF(A245="","",MONTH(A245))</f>
        <v/>
      </c>
      <c r="L245" s="22" t="str">
        <f aca="false">IF(A245="","",YEAR(A245))</f>
        <v/>
      </c>
    </row>
    <row r="246" customFormat="false" ht="15" hidden="false" customHeight="false" outlineLevel="0" collapsed="false">
      <c r="A246" s="23"/>
      <c r="B246" s="24"/>
      <c r="C246" s="24"/>
      <c r="D246" s="20" t="str">
        <f aca="false">IF(C246="","",IF(COUNTIF(ตั้งค่า!$A$7:$A$18,C246)&gt;0,"รายรับ",IF(COUNTIF(ตั้งค่า!$C$7:$C$31,C246)&gt;0,"รายจ่าย","ไม่พบหมวดหมู่")))</f>
        <v/>
      </c>
      <c r="E246" s="25"/>
      <c r="F246" s="24"/>
      <c r="G246" s="24"/>
      <c r="H246" s="21" t="n">
        <f aca="false">IF(OR(E246="",D246&lt;&gt;"รายรับ"),0,E246)</f>
        <v>0</v>
      </c>
      <c r="I246" s="21" t="n">
        <f aca="false">IF(OR(E246="",D246&lt;&gt;"รายจ่าย"),0,E246)</f>
        <v>0</v>
      </c>
      <c r="J246" s="21" t="str">
        <f aca="false">IF(E246="","",ตั้งค่า!$B$4+SUM($H$5:H246)-SUM($I$5:I246))</f>
        <v/>
      </c>
      <c r="K246" s="22" t="str">
        <f aca="false">IF(A246="","",MONTH(A246))</f>
        <v/>
      </c>
      <c r="L246" s="22" t="str">
        <f aca="false">IF(A246="","",YEAR(A246))</f>
        <v/>
      </c>
    </row>
    <row r="247" customFormat="false" ht="15" hidden="false" customHeight="false" outlineLevel="0" collapsed="false">
      <c r="A247" s="23"/>
      <c r="B247" s="24"/>
      <c r="C247" s="24"/>
      <c r="D247" s="20" t="str">
        <f aca="false">IF(C247="","",IF(COUNTIF(ตั้งค่า!$A$7:$A$18,C247)&gt;0,"รายรับ",IF(COUNTIF(ตั้งค่า!$C$7:$C$31,C247)&gt;0,"รายจ่าย","ไม่พบหมวดหมู่")))</f>
        <v/>
      </c>
      <c r="E247" s="25"/>
      <c r="F247" s="24"/>
      <c r="G247" s="24"/>
      <c r="H247" s="21" t="n">
        <f aca="false">IF(OR(E247="",D247&lt;&gt;"รายรับ"),0,E247)</f>
        <v>0</v>
      </c>
      <c r="I247" s="21" t="n">
        <f aca="false">IF(OR(E247="",D247&lt;&gt;"รายจ่าย"),0,E247)</f>
        <v>0</v>
      </c>
      <c r="J247" s="21" t="str">
        <f aca="false">IF(E247="","",ตั้งค่า!$B$4+SUM($H$5:H247)-SUM($I$5:I247))</f>
        <v/>
      </c>
      <c r="K247" s="22" t="str">
        <f aca="false">IF(A247="","",MONTH(A247))</f>
        <v/>
      </c>
      <c r="L247" s="22" t="str">
        <f aca="false">IF(A247="","",YEAR(A247))</f>
        <v/>
      </c>
    </row>
    <row r="248" customFormat="false" ht="15" hidden="false" customHeight="false" outlineLevel="0" collapsed="false">
      <c r="A248" s="23"/>
      <c r="B248" s="24"/>
      <c r="C248" s="24"/>
      <c r="D248" s="20" t="str">
        <f aca="false">IF(C248="","",IF(COUNTIF(ตั้งค่า!$A$7:$A$18,C248)&gt;0,"รายรับ",IF(COUNTIF(ตั้งค่า!$C$7:$C$31,C248)&gt;0,"รายจ่าย","ไม่พบหมวดหมู่")))</f>
        <v/>
      </c>
      <c r="E248" s="25"/>
      <c r="F248" s="24"/>
      <c r="G248" s="24"/>
      <c r="H248" s="21" t="n">
        <f aca="false">IF(OR(E248="",D248&lt;&gt;"รายรับ"),0,E248)</f>
        <v>0</v>
      </c>
      <c r="I248" s="21" t="n">
        <f aca="false">IF(OR(E248="",D248&lt;&gt;"รายจ่าย"),0,E248)</f>
        <v>0</v>
      </c>
      <c r="J248" s="21" t="str">
        <f aca="false">IF(E248="","",ตั้งค่า!$B$4+SUM($H$5:H248)-SUM($I$5:I248))</f>
        <v/>
      </c>
      <c r="K248" s="22" t="str">
        <f aca="false">IF(A248="","",MONTH(A248))</f>
        <v/>
      </c>
      <c r="L248" s="22" t="str">
        <f aca="false">IF(A248="","",YEAR(A248))</f>
        <v/>
      </c>
    </row>
    <row r="249" customFormat="false" ht="15" hidden="false" customHeight="false" outlineLevel="0" collapsed="false">
      <c r="A249" s="23"/>
      <c r="B249" s="24"/>
      <c r="C249" s="24"/>
      <c r="D249" s="20" t="str">
        <f aca="false">IF(C249="","",IF(COUNTIF(ตั้งค่า!$A$7:$A$18,C249)&gt;0,"รายรับ",IF(COUNTIF(ตั้งค่า!$C$7:$C$31,C249)&gt;0,"รายจ่าย","ไม่พบหมวดหมู่")))</f>
        <v/>
      </c>
      <c r="E249" s="25"/>
      <c r="F249" s="24"/>
      <c r="G249" s="24"/>
      <c r="H249" s="21" t="n">
        <f aca="false">IF(OR(E249="",D249&lt;&gt;"รายรับ"),0,E249)</f>
        <v>0</v>
      </c>
      <c r="I249" s="21" t="n">
        <f aca="false">IF(OR(E249="",D249&lt;&gt;"รายจ่าย"),0,E249)</f>
        <v>0</v>
      </c>
      <c r="J249" s="21" t="str">
        <f aca="false">IF(E249="","",ตั้งค่า!$B$4+SUM($H$5:H249)-SUM($I$5:I249))</f>
        <v/>
      </c>
      <c r="K249" s="22" t="str">
        <f aca="false">IF(A249="","",MONTH(A249))</f>
        <v/>
      </c>
      <c r="L249" s="22" t="str">
        <f aca="false">IF(A249="","",YEAR(A249))</f>
        <v/>
      </c>
    </row>
    <row r="250" customFormat="false" ht="15" hidden="false" customHeight="false" outlineLevel="0" collapsed="false">
      <c r="A250" s="23"/>
      <c r="B250" s="24"/>
      <c r="C250" s="24"/>
      <c r="D250" s="20" t="str">
        <f aca="false">IF(C250="","",IF(COUNTIF(ตั้งค่า!$A$7:$A$18,C250)&gt;0,"รายรับ",IF(COUNTIF(ตั้งค่า!$C$7:$C$31,C250)&gt;0,"รายจ่าย","ไม่พบหมวดหมู่")))</f>
        <v/>
      </c>
      <c r="E250" s="25"/>
      <c r="F250" s="24"/>
      <c r="G250" s="24"/>
      <c r="H250" s="21" t="n">
        <f aca="false">IF(OR(E250="",D250&lt;&gt;"รายรับ"),0,E250)</f>
        <v>0</v>
      </c>
      <c r="I250" s="21" t="n">
        <f aca="false">IF(OR(E250="",D250&lt;&gt;"รายจ่าย"),0,E250)</f>
        <v>0</v>
      </c>
      <c r="J250" s="21" t="str">
        <f aca="false">IF(E250="","",ตั้งค่า!$B$4+SUM($H$5:H250)-SUM($I$5:I250))</f>
        <v/>
      </c>
      <c r="K250" s="22" t="str">
        <f aca="false">IF(A250="","",MONTH(A250))</f>
        <v/>
      </c>
      <c r="L250" s="22" t="str">
        <f aca="false">IF(A250="","",YEAR(A250))</f>
        <v/>
      </c>
    </row>
    <row r="251" customFormat="false" ht="15" hidden="false" customHeight="false" outlineLevel="0" collapsed="false">
      <c r="A251" s="23"/>
      <c r="B251" s="24"/>
      <c r="C251" s="24"/>
      <c r="D251" s="20" t="str">
        <f aca="false">IF(C251="","",IF(COUNTIF(ตั้งค่า!$A$7:$A$18,C251)&gt;0,"รายรับ",IF(COUNTIF(ตั้งค่า!$C$7:$C$31,C251)&gt;0,"รายจ่าย","ไม่พบหมวดหมู่")))</f>
        <v/>
      </c>
      <c r="E251" s="25"/>
      <c r="F251" s="24"/>
      <c r="G251" s="24"/>
      <c r="H251" s="21" t="n">
        <f aca="false">IF(OR(E251="",D251&lt;&gt;"รายรับ"),0,E251)</f>
        <v>0</v>
      </c>
      <c r="I251" s="21" t="n">
        <f aca="false">IF(OR(E251="",D251&lt;&gt;"รายจ่าย"),0,E251)</f>
        <v>0</v>
      </c>
      <c r="J251" s="21" t="str">
        <f aca="false">IF(E251="","",ตั้งค่า!$B$4+SUM($H$5:H251)-SUM($I$5:I251))</f>
        <v/>
      </c>
      <c r="K251" s="22" t="str">
        <f aca="false">IF(A251="","",MONTH(A251))</f>
        <v/>
      </c>
      <c r="L251" s="22" t="str">
        <f aca="false">IF(A251="","",YEAR(A251))</f>
        <v/>
      </c>
    </row>
    <row r="252" customFormat="false" ht="15" hidden="false" customHeight="false" outlineLevel="0" collapsed="false">
      <c r="A252" s="23"/>
      <c r="B252" s="24"/>
      <c r="C252" s="24"/>
      <c r="D252" s="20" t="str">
        <f aca="false">IF(C252="","",IF(COUNTIF(ตั้งค่า!$A$7:$A$18,C252)&gt;0,"รายรับ",IF(COUNTIF(ตั้งค่า!$C$7:$C$31,C252)&gt;0,"รายจ่าย","ไม่พบหมวดหมู่")))</f>
        <v/>
      </c>
      <c r="E252" s="25"/>
      <c r="F252" s="24"/>
      <c r="G252" s="24"/>
      <c r="H252" s="21" t="n">
        <f aca="false">IF(OR(E252="",D252&lt;&gt;"รายรับ"),0,E252)</f>
        <v>0</v>
      </c>
      <c r="I252" s="21" t="n">
        <f aca="false">IF(OR(E252="",D252&lt;&gt;"รายจ่าย"),0,E252)</f>
        <v>0</v>
      </c>
      <c r="J252" s="21" t="str">
        <f aca="false">IF(E252="","",ตั้งค่า!$B$4+SUM($H$5:H252)-SUM($I$5:I252))</f>
        <v/>
      </c>
      <c r="K252" s="22" t="str">
        <f aca="false">IF(A252="","",MONTH(A252))</f>
        <v/>
      </c>
      <c r="L252" s="22" t="str">
        <f aca="false">IF(A252="","",YEAR(A252))</f>
        <v/>
      </c>
    </row>
    <row r="253" customFormat="false" ht="15" hidden="false" customHeight="false" outlineLevel="0" collapsed="false">
      <c r="A253" s="23"/>
      <c r="B253" s="24"/>
      <c r="C253" s="24"/>
      <c r="D253" s="20" t="str">
        <f aca="false">IF(C253="","",IF(COUNTIF(ตั้งค่า!$A$7:$A$18,C253)&gt;0,"รายรับ",IF(COUNTIF(ตั้งค่า!$C$7:$C$31,C253)&gt;0,"รายจ่าย","ไม่พบหมวดหมู่")))</f>
        <v/>
      </c>
      <c r="E253" s="25"/>
      <c r="F253" s="24"/>
      <c r="G253" s="24"/>
      <c r="H253" s="21" t="n">
        <f aca="false">IF(OR(E253="",D253&lt;&gt;"รายรับ"),0,E253)</f>
        <v>0</v>
      </c>
      <c r="I253" s="21" t="n">
        <f aca="false">IF(OR(E253="",D253&lt;&gt;"รายจ่าย"),0,E253)</f>
        <v>0</v>
      </c>
      <c r="J253" s="21" t="str">
        <f aca="false">IF(E253="","",ตั้งค่า!$B$4+SUM($H$5:H253)-SUM($I$5:I253))</f>
        <v/>
      </c>
      <c r="K253" s="22" t="str">
        <f aca="false">IF(A253="","",MONTH(A253))</f>
        <v/>
      </c>
      <c r="L253" s="22" t="str">
        <f aca="false">IF(A253="","",YEAR(A253))</f>
        <v/>
      </c>
    </row>
    <row r="254" customFormat="false" ht="15" hidden="false" customHeight="false" outlineLevel="0" collapsed="false">
      <c r="A254" s="23"/>
      <c r="B254" s="24"/>
      <c r="C254" s="24"/>
      <c r="D254" s="20" t="str">
        <f aca="false">IF(C254="","",IF(COUNTIF(ตั้งค่า!$A$7:$A$18,C254)&gt;0,"รายรับ",IF(COUNTIF(ตั้งค่า!$C$7:$C$31,C254)&gt;0,"รายจ่าย","ไม่พบหมวดหมู่")))</f>
        <v/>
      </c>
      <c r="E254" s="25"/>
      <c r="F254" s="24"/>
      <c r="G254" s="24"/>
      <c r="H254" s="21" t="n">
        <f aca="false">IF(OR(E254="",D254&lt;&gt;"รายรับ"),0,E254)</f>
        <v>0</v>
      </c>
      <c r="I254" s="21" t="n">
        <f aca="false">IF(OR(E254="",D254&lt;&gt;"รายจ่าย"),0,E254)</f>
        <v>0</v>
      </c>
      <c r="J254" s="21" t="str">
        <f aca="false">IF(E254="","",ตั้งค่า!$B$4+SUM($H$5:H254)-SUM($I$5:I254))</f>
        <v/>
      </c>
      <c r="K254" s="22" t="str">
        <f aca="false">IF(A254="","",MONTH(A254))</f>
        <v/>
      </c>
      <c r="L254" s="22" t="str">
        <f aca="false">IF(A254="","",YEAR(A254))</f>
        <v/>
      </c>
    </row>
    <row r="255" customFormat="false" ht="15" hidden="false" customHeight="false" outlineLevel="0" collapsed="false">
      <c r="A255" s="23"/>
      <c r="B255" s="24"/>
      <c r="C255" s="24"/>
      <c r="D255" s="20" t="str">
        <f aca="false">IF(C255="","",IF(COUNTIF(ตั้งค่า!$A$7:$A$18,C255)&gt;0,"รายรับ",IF(COUNTIF(ตั้งค่า!$C$7:$C$31,C255)&gt;0,"รายจ่าย","ไม่พบหมวดหมู่")))</f>
        <v/>
      </c>
      <c r="E255" s="25"/>
      <c r="F255" s="24"/>
      <c r="G255" s="24"/>
      <c r="H255" s="21" t="n">
        <f aca="false">IF(OR(E255="",D255&lt;&gt;"รายรับ"),0,E255)</f>
        <v>0</v>
      </c>
      <c r="I255" s="21" t="n">
        <f aca="false">IF(OR(E255="",D255&lt;&gt;"รายจ่าย"),0,E255)</f>
        <v>0</v>
      </c>
      <c r="J255" s="21" t="str">
        <f aca="false">IF(E255="","",ตั้งค่า!$B$4+SUM($H$5:H255)-SUM($I$5:I255))</f>
        <v/>
      </c>
      <c r="K255" s="22" t="str">
        <f aca="false">IF(A255="","",MONTH(A255))</f>
        <v/>
      </c>
      <c r="L255" s="22" t="str">
        <f aca="false">IF(A255="","",YEAR(A255))</f>
        <v/>
      </c>
    </row>
    <row r="256" customFormat="false" ht="15" hidden="false" customHeight="false" outlineLevel="0" collapsed="false">
      <c r="A256" s="23"/>
      <c r="B256" s="24"/>
      <c r="C256" s="24"/>
      <c r="D256" s="20" t="str">
        <f aca="false">IF(C256="","",IF(COUNTIF(ตั้งค่า!$A$7:$A$18,C256)&gt;0,"รายรับ",IF(COUNTIF(ตั้งค่า!$C$7:$C$31,C256)&gt;0,"รายจ่าย","ไม่พบหมวดหมู่")))</f>
        <v/>
      </c>
      <c r="E256" s="25"/>
      <c r="F256" s="24"/>
      <c r="G256" s="24"/>
      <c r="H256" s="21" t="n">
        <f aca="false">IF(OR(E256="",D256&lt;&gt;"รายรับ"),0,E256)</f>
        <v>0</v>
      </c>
      <c r="I256" s="21" t="n">
        <f aca="false">IF(OR(E256="",D256&lt;&gt;"รายจ่าย"),0,E256)</f>
        <v>0</v>
      </c>
      <c r="J256" s="21" t="str">
        <f aca="false">IF(E256="","",ตั้งค่า!$B$4+SUM($H$5:H256)-SUM($I$5:I256))</f>
        <v/>
      </c>
      <c r="K256" s="22" t="str">
        <f aca="false">IF(A256="","",MONTH(A256))</f>
        <v/>
      </c>
      <c r="L256" s="22" t="str">
        <f aca="false">IF(A256="","",YEAR(A256))</f>
        <v/>
      </c>
    </row>
    <row r="257" customFormat="false" ht="15" hidden="false" customHeight="false" outlineLevel="0" collapsed="false">
      <c r="A257" s="23"/>
      <c r="B257" s="24"/>
      <c r="C257" s="24"/>
      <c r="D257" s="20" t="str">
        <f aca="false">IF(C257="","",IF(COUNTIF(ตั้งค่า!$A$7:$A$18,C257)&gt;0,"รายรับ",IF(COUNTIF(ตั้งค่า!$C$7:$C$31,C257)&gt;0,"รายจ่าย","ไม่พบหมวดหมู่")))</f>
        <v/>
      </c>
      <c r="E257" s="25"/>
      <c r="F257" s="24"/>
      <c r="G257" s="24"/>
      <c r="H257" s="21" t="n">
        <f aca="false">IF(OR(E257="",D257&lt;&gt;"รายรับ"),0,E257)</f>
        <v>0</v>
      </c>
      <c r="I257" s="21" t="n">
        <f aca="false">IF(OR(E257="",D257&lt;&gt;"รายจ่าย"),0,E257)</f>
        <v>0</v>
      </c>
      <c r="J257" s="21" t="str">
        <f aca="false">IF(E257="","",ตั้งค่า!$B$4+SUM($H$5:H257)-SUM($I$5:I257))</f>
        <v/>
      </c>
      <c r="K257" s="22" t="str">
        <f aca="false">IF(A257="","",MONTH(A257))</f>
        <v/>
      </c>
      <c r="L257" s="22" t="str">
        <f aca="false">IF(A257="","",YEAR(A257))</f>
        <v/>
      </c>
    </row>
    <row r="258" customFormat="false" ht="15" hidden="false" customHeight="false" outlineLevel="0" collapsed="false">
      <c r="A258" s="23"/>
      <c r="B258" s="24"/>
      <c r="C258" s="24"/>
      <c r="D258" s="20" t="str">
        <f aca="false">IF(C258="","",IF(COUNTIF(ตั้งค่า!$A$7:$A$18,C258)&gt;0,"รายรับ",IF(COUNTIF(ตั้งค่า!$C$7:$C$31,C258)&gt;0,"รายจ่าย","ไม่พบหมวดหมู่")))</f>
        <v/>
      </c>
      <c r="E258" s="25"/>
      <c r="F258" s="24"/>
      <c r="G258" s="24"/>
      <c r="H258" s="21" t="n">
        <f aca="false">IF(OR(E258="",D258&lt;&gt;"รายรับ"),0,E258)</f>
        <v>0</v>
      </c>
      <c r="I258" s="21" t="n">
        <f aca="false">IF(OR(E258="",D258&lt;&gt;"รายจ่าย"),0,E258)</f>
        <v>0</v>
      </c>
      <c r="J258" s="21" t="str">
        <f aca="false">IF(E258="","",ตั้งค่า!$B$4+SUM($H$5:H258)-SUM($I$5:I258))</f>
        <v/>
      </c>
      <c r="K258" s="22" t="str">
        <f aca="false">IF(A258="","",MONTH(A258))</f>
        <v/>
      </c>
      <c r="L258" s="22" t="str">
        <f aca="false">IF(A258="","",YEAR(A258))</f>
        <v/>
      </c>
    </row>
    <row r="259" customFormat="false" ht="15" hidden="false" customHeight="false" outlineLevel="0" collapsed="false">
      <c r="A259" s="23"/>
      <c r="B259" s="24"/>
      <c r="C259" s="24"/>
      <c r="D259" s="20" t="str">
        <f aca="false">IF(C259="","",IF(COUNTIF(ตั้งค่า!$A$7:$A$18,C259)&gt;0,"รายรับ",IF(COUNTIF(ตั้งค่า!$C$7:$C$31,C259)&gt;0,"รายจ่าย","ไม่พบหมวดหมู่")))</f>
        <v/>
      </c>
      <c r="E259" s="25"/>
      <c r="F259" s="24"/>
      <c r="G259" s="24"/>
      <c r="H259" s="21" t="n">
        <f aca="false">IF(OR(E259="",D259&lt;&gt;"รายรับ"),0,E259)</f>
        <v>0</v>
      </c>
      <c r="I259" s="21" t="n">
        <f aca="false">IF(OR(E259="",D259&lt;&gt;"รายจ่าย"),0,E259)</f>
        <v>0</v>
      </c>
      <c r="J259" s="21" t="str">
        <f aca="false">IF(E259="","",ตั้งค่า!$B$4+SUM($H$5:H259)-SUM($I$5:I259))</f>
        <v/>
      </c>
      <c r="K259" s="22" t="str">
        <f aca="false">IF(A259="","",MONTH(A259))</f>
        <v/>
      </c>
      <c r="L259" s="22" t="str">
        <f aca="false">IF(A259="","",YEAR(A259))</f>
        <v/>
      </c>
    </row>
    <row r="260" customFormat="false" ht="15" hidden="false" customHeight="false" outlineLevel="0" collapsed="false">
      <c r="A260" s="23"/>
      <c r="B260" s="24"/>
      <c r="C260" s="24"/>
      <c r="D260" s="20" t="str">
        <f aca="false">IF(C260="","",IF(COUNTIF(ตั้งค่า!$A$7:$A$18,C260)&gt;0,"รายรับ",IF(COUNTIF(ตั้งค่า!$C$7:$C$31,C260)&gt;0,"รายจ่าย","ไม่พบหมวดหมู่")))</f>
        <v/>
      </c>
      <c r="E260" s="25"/>
      <c r="F260" s="24"/>
      <c r="G260" s="24"/>
      <c r="H260" s="21" t="n">
        <f aca="false">IF(OR(E260="",D260&lt;&gt;"รายรับ"),0,E260)</f>
        <v>0</v>
      </c>
      <c r="I260" s="21" t="n">
        <f aca="false">IF(OR(E260="",D260&lt;&gt;"รายจ่าย"),0,E260)</f>
        <v>0</v>
      </c>
      <c r="J260" s="21" t="str">
        <f aca="false">IF(E260="","",ตั้งค่า!$B$4+SUM($H$5:H260)-SUM($I$5:I260))</f>
        <v/>
      </c>
      <c r="K260" s="22" t="str">
        <f aca="false">IF(A260="","",MONTH(A260))</f>
        <v/>
      </c>
      <c r="L260" s="22" t="str">
        <f aca="false">IF(A260="","",YEAR(A260))</f>
        <v/>
      </c>
    </row>
    <row r="261" customFormat="false" ht="15" hidden="false" customHeight="false" outlineLevel="0" collapsed="false">
      <c r="A261" s="23"/>
      <c r="B261" s="24"/>
      <c r="C261" s="24"/>
      <c r="D261" s="20" t="str">
        <f aca="false">IF(C261="","",IF(COUNTIF(ตั้งค่า!$A$7:$A$18,C261)&gt;0,"รายรับ",IF(COUNTIF(ตั้งค่า!$C$7:$C$31,C261)&gt;0,"รายจ่าย","ไม่พบหมวดหมู่")))</f>
        <v/>
      </c>
      <c r="E261" s="25"/>
      <c r="F261" s="24"/>
      <c r="G261" s="24"/>
      <c r="H261" s="21" t="n">
        <f aca="false">IF(OR(E261="",D261&lt;&gt;"รายรับ"),0,E261)</f>
        <v>0</v>
      </c>
      <c r="I261" s="21" t="n">
        <f aca="false">IF(OR(E261="",D261&lt;&gt;"รายจ่าย"),0,E261)</f>
        <v>0</v>
      </c>
      <c r="J261" s="21" t="str">
        <f aca="false">IF(E261="","",ตั้งค่า!$B$4+SUM($H$5:H261)-SUM($I$5:I261))</f>
        <v/>
      </c>
      <c r="K261" s="22" t="str">
        <f aca="false">IF(A261="","",MONTH(A261))</f>
        <v/>
      </c>
      <c r="L261" s="22" t="str">
        <f aca="false">IF(A261="","",YEAR(A261))</f>
        <v/>
      </c>
    </row>
    <row r="262" customFormat="false" ht="15" hidden="false" customHeight="false" outlineLevel="0" collapsed="false">
      <c r="A262" s="23"/>
      <c r="B262" s="24"/>
      <c r="C262" s="24"/>
      <c r="D262" s="20" t="str">
        <f aca="false">IF(C262="","",IF(COUNTIF(ตั้งค่า!$A$7:$A$18,C262)&gt;0,"รายรับ",IF(COUNTIF(ตั้งค่า!$C$7:$C$31,C262)&gt;0,"รายจ่าย","ไม่พบหมวดหมู่")))</f>
        <v/>
      </c>
      <c r="E262" s="25"/>
      <c r="F262" s="24"/>
      <c r="G262" s="24"/>
      <c r="H262" s="21" t="n">
        <f aca="false">IF(OR(E262="",D262&lt;&gt;"รายรับ"),0,E262)</f>
        <v>0</v>
      </c>
      <c r="I262" s="21" t="n">
        <f aca="false">IF(OR(E262="",D262&lt;&gt;"รายจ่าย"),0,E262)</f>
        <v>0</v>
      </c>
      <c r="J262" s="21" t="str">
        <f aca="false">IF(E262="","",ตั้งค่า!$B$4+SUM($H$5:H262)-SUM($I$5:I262))</f>
        <v/>
      </c>
      <c r="K262" s="22" t="str">
        <f aca="false">IF(A262="","",MONTH(A262))</f>
        <v/>
      </c>
      <c r="L262" s="22" t="str">
        <f aca="false">IF(A262="","",YEAR(A262))</f>
        <v/>
      </c>
    </row>
    <row r="263" customFormat="false" ht="15" hidden="false" customHeight="false" outlineLevel="0" collapsed="false">
      <c r="A263" s="23"/>
      <c r="B263" s="24"/>
      <c r="C263" s="24"/>
      <c r="D263" s="20" t="str">
        <f aca="false">IF(C263="","",IF(COUNTIF(ตั้งค่า!$A$7:$A$18,C263)&gt;0,"รายรับ",IF(COUNTIF(ตั้งค่า!$C$7:$C$31,C263)&gt;0,"รายจ่าย","ไม่พบหมวดหมู่")))</f>
        <v/>
      </c>
      <c r="E263" s="25"/>
      <c r="F263" s="24"/>
      <c r="G263" s="24"/>
      <c r="H263" s="21" t="n">
        <f aca="false">IF(OR(E263="",D263&lt;&gt;"รายรับ"),0,E263)</f>
        <v>0</v>
      </c>
      <c r="I263" s="21" t="n">
        <f aca="false">IF(OR(E263="",D263&lt;&gt;"รายจ่าย"),0,E263)</f>
        <v>0</v>
      </c>
      <c r="J263" s="21" t="str">
        <f aca="false">IF(E263="","",ตั้งค่า!$B$4+SUM($H$5:H263)-SUM($I$5:I263))</f>
        <v/>
      </c>
      <c r="K263" s="22" t="str">
        <f aca="false">IF(A263="","",MONTH(A263))</f>
        <v/>
      </c>
      <c r="L263" s="22" t="str">
        <f aca="false">IF(A263="","",YEAR(A263))</f>
        <v/>
      </c>
    </row>
    <row r="264" customFormat="false" ht="15" hidden="false" customHeight="false" outlineLevel="0" collapsed="false">
      <c r="A264" s="23"/>
      <c r="B264" s="24"/>
      <c r="C264" s="24"/>
      <c r="D264" s="20" t="str">
        <f aca="false">IF(C264="","",IF(COUNTIF(ตั้งค่า!$A$7:$A$18,C264)&gt;0,"รายรับ",IF(COUNTIF(ตั้งค่า!$C$7:$C$31,C264)&gt;0,"รายจ่าย","ไม่พบหมวดหมู่")))</f>
        <v/>
      </c>
      <c r="E264" s="25"/>
      <c r="F264" s="24"/>
      <c r="G264" s="24"/>
      <c r="H264" s="21" t="n">
        <f aca="false">IF(OR(E264="",D264&lt;&gt;"รายรับ"),0,E264)</f>
        <v>0</v>
      </c>
      <c r="I264" s="21" t="n">
        <f aca="false">IF(OR(E264="",D264&lt;&gt;"รายจ่าย"),0,E264)</f>
        <v>0</v>
      </c>
      <c r="J264" s="21" t="str">
        <f aca="false">IF(E264="","",ตั้งค่า!$B$4+SUM($H$5:H264)-SUM($I$5:I264))</f>
        <v/>
      </c>
      <c r="K264" s="22" t="str">
        <f aca="false">IF(A264="","",MONTH(A264))</f>
        <v/>
      </c>
      <c r="L264" s="22" t="str">
        <f aca="false">IF(A264="","",YEAR(A264))</f>
        <v/>
      </c>
    </row>
    <row r="265" customFormat="false" ht="15" hidden="false" customHeight="false" outlineLevel="0" collapsed="false">
      <c r="A265" s="23"/>
      <c r="B265" s="24"/>
      <c r="C265" s="24"/>
      <c r="D265" s="20" t="str">
        <f aca="false">IF(C265="","",IF(COUNTIF(ตั้งค่า!$A$7:$A$18,C265)&gt;0,"รายรับ",IF(COUNTIF(ตั้งค่า!$C$7:$C$31,C265)&gt;0,"รายจ่าย","ไม่พบหมวดหมู่")))</f>
        <v/>
      </c>
      <c r="E265" s="25"/>
      <c r="F265" s="24"/>
      <c r="G265" s="24"/>
      <c r="H265" s="21" t="n">
        <f aca="false">IF(OR(E265="",D265&lt;&gt;"รายรับ"),0,E265)</f>
        <v>0</v>
      </c>
      <c r="I265" s="21" t="n">
        <f aca="false">IF(OR(E265="",D265&lt;&gt;"รายจ่าย"),0,E265)</f>
        <v>0</v>
      </c>
      <c r="J265" s="21" t="str">
        <f aca="false">IF(E265="","",ตั้งค่า!$B$4+SUM($H$5:H265)-SUM($I$5:I265))</f>
        <v/>
      </c>
      <c r="K265" s="22" t="str">
        <f aca="false">IF(A265="","",MONTH(A265))</f>
        <v/>
      </c>
      <c r="L265" s="22" t="str">
        <f aca="false">IF(A265="","",YEAR(A265))</f>
        <v/>
      </c>
    </row>
    <row r="266" customFormat="false" ht="15" hidden="false" customHeight="false" outlineLevel="0" collapsed="false">
      <c r="A266" s="23"/>
      <c r="B266" s="24"/>
      <c r="C266" s="24"/>
      <c r="D266" s="20" t="str">
        <f aca="false">IF(C266="","",IF(COUNTIF(ตั้งค่า!$A$7:$A$18,C266)&gt;0,"รายรับ",IF(COUNTIF(ตั้งค่า!$C$7:$C$31,C266)&gt;0,"รายจ่าย","ไม่พบหมวดหมู่")))</f>
        <v/>
      </c>
      <c r="E266" s="25"/>
      <c r="F266" s="24"/>
      <c r="G266" s="24"/>
      <c r="H266" s="21" t="n">
        <f aca="false">IF(OR(E266="",D266&lt;&gt;"รายรับ"),0,E266)</f>
        <v>0</v>
      </c>
      <c r="I266" s="21" t="n">
        <f aca="false">IF(OR(E266="",D266&lt;&gt;"รายจ่าย"),0,E266)</f>
        <v>0</v>
      </c>
      <c r="J266" s="21" t="str">
        <f aca="false">IF(E266="","",ตั้งค่า!$B$4+SUM($H$5:H266)-SUM($I$5:I266))</f>
        <v/>
      </c>
      <c r="K266" s="22" t="str">
        <f aca="false">IF(A266="","",MONTH(A266))</f>
        <v/>
      </c>
      <c r="L266" s="22" t="str">
        <f aca="false">IF(A266="","",YEAR(A266))</f>
        <v/>
      </c>
    </row>
    <row r="267" customFormat="false" ht="15" hidden="false" customHeight="false" outlineLevel="0" collapsed="false">
      <c r="A267" s="23"/>
      <c r="B267" s="24"/>
      <c r="C267" s="24"/>
      <c r="D267" s="20" t="str">
        <f aca="false">IF(C267="","",IF(COUNTIF(ตั้งค่า!$A$7:$A$18,C267)&gt;0,"รายรับ",IF(COUNTIF(ตั้งค่า!$C$7:$C$31,C267)&gt;0,"รายจ่าย","ไม่พบหมวดหมู่")))</f>
        <v/>
      </c>
      <c r="E267" s="25"/>
      <c r="F267" s="24"/>
      <c r="G267" s="24"/>
      <c r="H267" s="21" t="n">
        <f aca="false">IF(OR(E267="",D267&lt;&gt;"รายรับ"),0,E267)</f>
        <v>0</v>
      </c>
      <c r="I267" s="21" t="n">
        <f aca="false">IF(OR(E267="",D267&lt;&gt;"รายจ่าย"),0,E267)</f>
        <v>0</v>
      </c>
      <c r="J267" s="21" t="str">
        <f aca="false">IF(E267="","",ตั้งค่า!$B$4+SUM($H$5:H267)-SUM($I$5:I267))</f>
        <v/>
      </c>
      <c r="K267" s="22" t="str">
        <f aca="false">IF(A267="","",MONTH(A267))</f>
        <v/>
      </c>
      <c r="L267" s="22" t="str">
        <f aca="false">IF(A267="","",YEAR(A267))</f>
        <v/>
      </c>
    </row>
    <row r="268" customFormat="false" ht="15" hidden="false" customHeight="false" outlineLevel="0" collapsed="false">
      <c r="A268" s="23"/>
      <c r="B268" s="24"/>
      <c r="C268" s="24"/>
      <c r="D268" s="20" t="str">
        <f aca="false">IF(C268="","",IF(COUNTIF(ตั้งค่า!$A$7:$A$18,C268)&gt;0,"รายรับ",IF(COUNTIF(ตั้งค่า!$C$7:$C$31,C268)&gt;0,"รายจ่าย","ไม่พบหมวดหมู่")))</f>
        <v/>
      </c>
      <c r="E268" s="25"/>
      <c r="F268" s="24"/>
      <c r="G268" s="24"/>
      <c r="H268" s="21" t="n">
        <f aca="false">IF(OR(E268="",D268&lt;&gt;"รายรับ"),0,E268)</f>
        <v>0</v>
      </c>
      <c r="I268" s="21" t="n">
        <f aca="false">IF(OR(E268="",D268&lt;&gt;"รายจ่าย"),0,E268)</f>
        <v>0</v>
      </c>
      <c r="J268" s="21" t="str">
        <f aca="false">IF(E268="","",ตั้งค่า!$B$4+SUM($H$5:H268)-SUM($I$5:I268))</f>
        <v/>
      </c>
      <c r="K268" s="22" t="str">
        <f aca="false">IF(A268="","",MONTH(A268))</f>
        <v/>
      </c>
      <c r="L268" s="22" t="str">
        <f aca="false">IF(A268="","",YEAR(A268))</f>
        <v/>
      </c>
    </row>
    <row r="269" customFormat="false" ht="15" hidden="false" customHeight="false" outlineLevel="0" collapsed="false">
      <c r="A269" s="23"/>
      <c r="B269" s="24"/>
      <c r="C269" s="24"/>
      <c r="D269" s="20" t="str">
        <f aca="false">IF(C269="","",IF(COUNTIF(ตั้งค่า!$A$7:$A$18,C269)&gt;0,"รายรับ",IF(COUNTIF(ตั้งค่า!$C$7:$C$31,C269)&gt;0,"รายจ่าย","ไม่พบหมวดหมู่")))</f>
        <v/>
      </c>
      <c r="E269" s="25"/>
      <c r="F269" s="24"/>
      <c r="G269" s="24"/>
      <c r="H269" s="21" t="n">
        <f aca="false">IF(OR(E269="",D269&lt;&gt;"รายรับ"),0,E269)</f>
        <v>0</v>
      </c>
      <c r="I269" s="21" t="n">
        <f aca="false">IF(OR(E269="",D269&lt;&gt;"รายจ่าย"),0,E269)</f>
        <v>0</v>
      </c>
      <c r="J269" s="21" t="str">
        <f aca="false">IF(E269="","",ตั้งค่า!$B$4+SUM($H$5:H269)-SUM($I$5:I269))</f>
        <v/>
      </c>
      <c r="K269" s="22" t="str">
        <f aca="false">IF(A269="","",MONTH(A269))</f>
        <v/>
      </c>
      <c r="L269" s="22" t="str">
        <f aca="false">IF(A269="","",YEAR(A269))</f>
        <v/>
      </c>
    </row>
    <row r="270" customFormat="false" ht="15" hidden="false" customHeight="false" outlineLevel="0" collapsed="false">
      <c r="A270" s="23"/>
      <c r="B270" s="24"/>
      <c r="C270" s="24"/>
      <c r="D270" s="20" t="str">
        <f aca="false">IF(C270="","",IF(COUNTIF(ตั้งค่า!$A$7:$A$18,C270)&gt;0,"รายรับ",IF(COUNTIF(ตั้งค่า!$C$7:$C$31,C270)&gt;0,"รายจ่าย","ไม่พบหมวดหมู่")))</f>
        <v/>
      </c>
      <c r="E270" s="25"/>
      <c r="F270" s="24"/>
      <c r="G270" s="24"/>
      <c r="H270" s="21" t="n">
        <f aca="false">IF(OR(E270="",D270&lt;&gt;"รายรับ"),0,E270)</f>
        <v>0</v>
      </c>
      <c r="I270" s="21" t="n">
        <f aca="false">IF(OR(E270="",D270&lt;&gt;"รายจ่าย"),0,E270)</f>
        <v>0</v>
      </c>
      <c r="J270" s="21" t="str">
        <f aca="false">IF(E270="","",ตั้งค่า!$B$4+SUM($H$5:H270)-SUM($I$5:I270))</f>
        <v/>
      </c>
      <c r="K270" s="22" t="str">
        <f aca="false">IF(A270="","",MONTH(A270))</f>
        <v/>
      </c>
      <c r="L270" s="22" t="str">
        <f aca="false">IF(A270="","",YEAR(A270))</f>
        <v/>
      </c>
    </row>
    <row r="271" customFormat="false" ht="15" hidden="false" customHeight="false" outlineLevel="0" collapsed="false">
      <c r="A271" s="23"/>
      <c r="B271" s="24"/>
      <c r="C271" s="24"/>
      <c r="D271" s="20" t="str">
        <f aca="false">IF(C271="","",IF(COUNTIF(ตั้งค่า!$A$7:$A$18,C271)&gt;0,"รายรับ",IF(COUNTIF(ตั้งค่า!$C$7:$C$31,C271)&gt;0,"รายจ่าย","ไม่พบหมวดหมู่")))</f>
        <v/>
      </c>
      <c r="E271" s="25"/>
      <c r="F271" s="24"/>
      <c r="G271" s="24"/>
      <c r="H271" s="21" t="n">
        <f aca="false">IF(OR(E271="",D271&lt;&gt;"รายรับ"),0,E271)</f>
        <v>0</v>
      </c>
      <c r="I271" s="21" t="n">
        <f aca="false">IF(OR(E271="",D271&lt;&gt;"รายจ่าย"),0,E271)</f>
        <v>0</v>
      </c>
      <c r="J271" s="21" t="str">
        <f aca="false">IF(E271="","",ตั้งค่า!$B$4+SUM($H$5:H271)-SUM($I$5:I271))</f>
        <v/>
      </c>
      <c r="K271" s="22" t="str">
        <f aca="false">IF(A271="","",MONTH(A271))</f>
        <v/>
      </c>
      <c r="L271" s="22" t="str">
        <f aca="false">IF(A271="","",YEAR(A271))</f>
        <v/>
      </c>
    </row>
    <row r="272" customFormat="false" ht="15" hidden="false" customHeight="false" outlineLevel="0" collapsed="false">
      <c r="A272" s="23"/>
      <c r="B272" s="24"/>
      <c r="C272" s="24"/>
      <c r="D272" s="20" t="str">
        <f aca="false">IF(C272="","",IF(COUNTIF(ตั้งค่า!$A$7:$A$18,C272)&gt;0,"รายรับ",IF(COUNTIF(ตั้งค่า!$C$7:$C$31,C272)&gt;0,"รายจ่าย","ไม่พบหมวดหมู่")))</f>
        <v/>
      </c>
      <c r="E272" s="25"/>
      <c r="F272" s="24"/>
      <c r="G272" s="24"/>
      <c r="H272" s="21" t="n">
        <f aca="false">IF(OR(E272="",D272&lt;&gt;"รายรับ"),0,E272)</f>
        <v>0</v>
      </c>
      <c r="I272" s="21" t="n">
        <f aca="false">IF(OR(E272="",D272&lt;&gt;"รายจ่าย"),0,E272)</f>
        <v>0</v>
      </c>
      <c r="J272" s="21" t="str">
        <f aca="false">IF(E272="","",ตั้งค่า!$B$4+SUM($H$5:H272)-SUM($I$5:I272))</f>
        <v/>
      </c>
      <c r="K272" s="22" t="str">
        <f aca="false">IF(A272="","",MONTH(A272))</f>
        <v/>
      </c>
      <c r="L272" s="22" t="str">
        <f aca="false">IF(A272="","",YEAR(A272))</f>
        <v/>
      </c>
    </row>
    <row r="273" customFormat="false" ht="15" hidden="false" customHeight="false" outlineLevel="0" collapsed="false">
      <c r="A273" s="23"/>
      <c r="B273" s="24"/>
      <c r="C273" s="24"/>
      <c r="D273" s="20" t="str">
        <f aca="false">IF(C273="","",IF(COUNTIF(ตั้งค่า!$A$7:$A$18,C273)&gt;0,"รายรับ",IF(COUNTIF(ตั้งค่า!$C$7:$C$31,C273)&gt;0,"รายจ่าย","ไม่พบหมวดหมู่")))</f>
        <v/>
      </c>
      <c r="E273" s="25"/>
      <c r="F273" s="24"/>
      <c r="G273" s="24"/>
      <c r="H273" s="21" t="n">
        <f aca="false">IF(OR(E273="",D273&lt;&gt;"รายรับ"),0,E273)</f>
        <v>0</v>
      </c>
      <c r="I273" s="21" t="n">
        <f aca="false">IF(OR(E273="",D273&lt;&gt;"รายจ่าย"),0,E273)</f>
        <v>0</v>
      </c>
      <c r="J273" s="21" t="str">
        <f aca="false">IF(E273="","",ตั้งค่า!$B$4+SUM($H$5:H273)-SUM($I$5:I273))</f>
        <v/>
      </c>
      <c r="K273" s="22" t="str">
        <f aca="false">IF(A273="","",MONTH(A273))</f>
        <v/>
      </c>
      <c r="L273" s="22" t="str">
        <f aca="false">IF(A273="","",YEAR(A273))</f>
        <v/>
      </c>
    </row>
    <row r="274" customFormat="false" ht="15" hidden="false" customHeight="false" outlineLevel="0" collapsed="false">
      <c r="A274" s="23"/>
      <c r="B274" s="24"/>
      <c r="C274" s="24"/>
      <c r="D274" s="20" t="str">
        <f aca="false">IF(C274="","",IF(COUNTIF(ตั้งค่า!$A$7:$A$18,C274)&gt;0,"รายรับ",IF(COUNTIF(ตั้งค่า!$C$7:$C$31,C274)&gt;0,"รายจ่าย","ไม่พบหมวดหมู่")))</f>
        <v/>
      </c>
      <c r="E274" s="25"/>
      <c r="F274" s="24"/>
      <c r="G274" s="24"/>
      <c r="H274" s="21" t="n">
        <f aca="false">IF(OR(E274="",D274&lt;&gt;"รายรับ"),0,E274)</f>
        <v>0</v>
      </c>
      <c r="I274" s="21" t="n">
        <f aca="false">IF(OR(E274="",D274&lt;&gt;"รายจ่าย"),0,E274)</f>
        <v>0</v>
      </c>
      <c r="J274" s="21" t="str">
        <f aca="false">IF(E274="","",ตั้งค่า!$B$4+SUM($H$5:H274)-SUM($I$5:I274))</f>
        <v/>
      </c>
      <c r="K274" s="22" t="str">
        <f aca="false">IF(A274="","",MONTH(A274))</f>
        <v/>
      </c>
      <c r="L274" s="22" t="str">
        <f aca="false">IF(A274="","",YEAR(A274))</f>
        <v/>
      </c>
    </row>
    <row r="275" customFormat="false" ht="15" hidden="false" customHeight="false" outlineLevel="0" collapsed="false">
      <c r="A275" s="23"/>
      <c r="B275" s="24"/>
      <c r="C275" s="24"/>
      <c r="D275" s="20" t="str">
        <f aca="false">IF(C275="","",IF(COUNTIF(ตั้งค่า!$A$7:$A$18,C275)&gt;0,"รายรับ",IF(COUNTIF(ตั้งค่า!$C$7:$C$31,C275)&gt;0,"รายจ่าย","ไม่พบหมวดหมู่")))</f>
        <v/>
      </c>
      <c r="E275" s="25"/>
      <c r="F275" s="24"/>
      <c r="G275" s="24"/>
      <c r="H275" s="21" t="n">
        <f aca="false">IF(OR(E275="",D275&lt;&gt;"รายรับ"),0,E275)</f>
        <v>0</v>
      </c>
      <c r="I275" s="21" t="n">
        <f aca="false">IF(OR(E275="",D275&lt;&gt;"รายจ่าย"),0,E275)</f>
        <v>0</v>
      </c>
      <c r="J275" s="21" t="str">
        <f aca="false">IF(E275="","",ตั้งค่า!$B$4+SUM($H$5:H275)-SUM($I$5:I275))</f>
        <v/>
      </c>
      <c r="K275" s="22" t="str">
        <f aca="false">IF(A275="","",MONTH(A275))</f>
        <v/>
      </c>
      <c r="L275" s="22" t="str">
        <f aca="false">IF(A275="","",YEAR(A275))</f>
        <v/>
      </c>
    </row>
    <row r="276" customFormat="false" ht="15" hidden="false" customHeight="false" outlineLevel="0" collapsed="false">
      <c r="A276" s="23"/>
      <c r="B276" s="24"/>
      <c r="C276" s="24"/>
      <c r="D276" s="20" t="str">
        <f aca="false">IF(C276="","",IF(COUNTIF(ตั้งค่า!$A$7:$A$18,C276)&gt;0,"รายรับ",IF(COUNTIF(ตั้งค่า!$C$7:$C$31,C276)&gt;0,"รายจ่าย","ไม่พบหมวดหมู่")))</f>
        <v/>
      </c>
      <c r="E276" s="25"/>
      <c r="F276" s="24"/>
      <c r="G276" s="24"/>
      <c r="H276" s="21" t="n">
        <f aca="false">IF(OR(E276="",D276&lt;&gt;"รายรับ"),0,E276)</f>
        <v>0</v>
      </c>
      <c r="I276" s="21" t="n">
        <f aca="false">IF(OR(E276="",D276&lt;&gt;"รายจ่าย"),0,E276)</f>
        <v>0</v>
      </c>
      <c r="J276" s="21" t="str">
        <f aca="false">IF(E276="","",ตั้งค่า!$B$4+SUM($H$5:H276)-SUM($I$5:I276))</f>
        <v/>
      </c>
      <c r="K276" s="22" t="str">
        <f aca="false">IF(A276="","",MONTH(A276))</f>
        <v/>
      </c>
      <c r="L276" s="22" t="str">
        <f aca="false">IF(A276="","",YEAR(A276))</f>
        <v/>
      </c>
    </row>
    <row r="277" customFormat="false" ht="15" hidden="false" customHeight="false" outlineLevel="0" collapsed="false">
      <c r="A277" s="23"/>
      <c r="B277" s="24"/>
      <c r="C277" s="24"/>
      <c r="D277" s="20" t="str">
        <f aca="false">IF(C277="","",IF(COUNTIF(ตั้งค่า!$A$7:$A$18,C277)&gt;0,"รายรับ",IF(COUNTIF(ตั้งค่า!$C$7:$C$31,C277)&gt;0,"รายจ่าย","ไม่พบหมวดหมู่")))</f>
        <v/>
      </c>
      <c r="E277" s="25"/>
      <c r="F277" s="24"/>
      <c r="G277" s="24"/>
      <c r="H277" s="21" t="n">
        <f aca="false">IF(OR(E277="",D277&lt;&gt;"รายรับ"),0,E277)</f>
        <v>0</v>
      </c>
      <c r="I277" s="21" t="n">
        <f aca="false">IF(OR(E277="",D277&lt;&gt;"รายจ่าย"),0,E277)</f>
        <v>0</v>
      </c>
      <c r="J277" s="21" t="str">
        <f aca="false">IF(E277="","",ตั้งค่า!$B$4+SUM($H$5:H277)-SUM($I$5:I277))</f>
        <v/>
      </c>
      <c r="K277" s="22" t="str">
        <f aca="false">IF(A277="","",MONTH(A277))</f>
        <v/>
      </c>
      <c r="L277" s="22" t="str">
        <f aca="false">IF(A277="","",YEAR(A277))</f>
        <v/>
      </c>
    </row>
    <row r="278" customFormat="false" ht="15" hidden="false" customHeight="false" outlineLevel="0" collapsed="false">
      <c r="A278" s="23"/>
      <c r="B278" s="24"/>
      <c r="C278" s="24"/>
      <c r="D278" s="20" t="str">
        <f aca="false">IF(C278="","",IF(COUNTIF(ตั้งค่า!$A$7:$A$18,C278)&gt;0,"รายรับ",IF(COUNTIF(ตั้งค่า!$C$7:$C$31,C278)&gt;0,"รายจ่าย","ไม่พบหมวดหมู่")))</f>
        <v/>
      </c>
      <c r="E278" s="25"/>
      <c r="F278" s="24"/>
      <c r="G278" s="24"/>
      <c r="H278" s="21" t="n">
        <f aca="false">IF(OR(E278="",D278&lt;&gt;"รายรับ"),0,E278)</f>
        <v>0</v>
      </c>
      <c r="I278" s="21" t="n">
        <f aca="false">IF(OR(E278="",D278&lt;&gt;"รายจ่าย"),0,E278)</f>
        <v>0</v>
      </c>
      <c r="J278" s="21" t="str">
        <f aca="false">IF(E278="","",ตั้งค่า!$B$4+SUM($H$5:H278)-SUM($I$5:I278))</f>
        <v/>
      </c>
      <c r="K278" s="22" t="str">
        <f aca="false">IF(A278="","",MONTH(A278))</f>
        <v/>
      </c>
      <c r="L278" s="22" t="str">
        <f aca="false">IF(A278="","",YEAR(A278))</f>
        <v/>
      </c>
    </row>
    <row r="279" customFormat="false" ht="15" hidden="false" customHeight="false" outlineLevel="0" collapsed="false">
      <c r="A279" s="23"/>
      <c r="B279" s="24"/>
      <c r="C279" s="24"/>
      <c r="D279" s="20" t="str">
        <f aca="false">IF(C279="","",IF(COUNTIF(ตั้งค่า!$A$7:$A$18,C279)&gt;0,"รายรับ",IF(COUNTIF(ตั้งค่า!$C$7:$C$31,C279)&gt;0,"รายจ่าย","ไม่พบหมวดหมู่")))</f>
        <v/>
      </c>
      <c r="E279" s="25"/>
      <c r="F279" s="24"/>
      <c r="G279" s="24"/>
      <c r="H279" s="21" t="n">
        <f aca="false">IF(OR(E279="",D279&lt;&gt;"รายรับ"),0,E279)</f>
        <v>0</v>
      </c>
      <c r="I279" s="21" t="n">
        <f aca="false">IF(OR(E279="",D279&lt;&gt;"รายจ่าย"),0,E279)</f>
        <v>0</v>
      </c>
      <c r="J279" s="21" t="str">
        <f aca="false">IF(E279="","",ตั้งค่า!$B$4+SUM($H$5:H279)-SUM($I$5:I279))</f>
        <v/>
      </c>
      <c r="K279" s="22" t="str">
        <f aca="false">IF(A279="","",MONTH(A279))</f>
        <v/>
      </c>
      <c r="L279" s="22" t="str">
        <f aca="false">IF(A279="","",YEAR(A279))</f>
        <v/>
      </c>
    </row>
    <row r="280" customFormat="false" ht="15" hidden="false" customHeight="false" outlineLevel="0" collapsed="false">
      <c r="A280" s="23"/>
      <c r="B280" s="24"/>
      <c r="C280" s="24"/>
      <c r="D280" s="20" t="str">
        <f aca="false">IF(C280="","",IF(COUNTIF(ตั้งค่า!$A$7:$A$18,C280)&gt;0,"รายรับ",IF(COUNTIF(ตั้งค่า!$C$7:$C$31,C280)&gt;0,"รายจ่าย","ไม่พบหมวดหมู่")))</f>
        <v/>
      </c>
      <c r="E280" s="25"/>
      <c r="F280" s="24"/>
      <c r="G280" s="24"/>
      <c r="H280" s="21" t="n">
        <f aca="false">IF(OR(E280="",D280&lt;&gt;"รายรับ"),0,E280)</f>
        <v>0</v>
      </c>
      <c r="I280" s="21" t="n">
        <f aca="false">IF(OR(E280="",D280&lt;&gt;"รายจ่าย"),0,E280)</f>
        <v>0</v>
      </c>
      <c r="J280" s="21" t="str">
        <f aca="false">IF(E280="","",ตั้งค่า!$B$4+SUM($H$5:H280)-SUM($I$5:I280))</f>
        <v/>
      </c>
      <c r="K280" s="22" t="str">
        <f aca="false">IF(A280="","",MONTH(A280))</f>
        <v/>
      </c>
      <c r="L280" s="22" t="str">
        <f aca="false">IF(A280="","",YEAR(A280))</f>
        <v/>
      </c>
    </row>
    <row r="281" customFormat="false" ht="15" hidden="false" customHeight="false" outlineLevel="0" collapsed="false">
      <c r="A281" s="23"/>
      <c r="B281" s="24"/>
      <c r="C281" s="24"/>
      <c r="D281" s="20" t="str">
        <f aca="false">IF(C281="","",IF(COUNTIF(ตั้งค่า!$A$7:$A$18,C281)&gt;0,"รายรับ",IF(COUNTIF(ตั้งค่า!$C$7:$C$31,C281)&gt;0,"รายจ่าย","ไม่พบหมวดหมู่")))</f>
        <v/>
      </c>
      <c r="E281" s="25"/>
      <c r="F281" s="24"/>
      <c r="G281" s="24"/>
      <c r="H281" s="21" t="n">
        <f aca="false">IF(OR(E281="",D281&lt;&gt;"รายรับ"),0,E281)</f>
        <v>0</v>
      </c>
      <c r="I281" s="21" t="n">
        <f aca="false">IF(OR(E281="",D281&lt;&gt;"รายจ่าย"),0,E281)</f>
        <v>0</v>
      </c>
      <c r="J281" s="21" t="str">
        <f aca="false">IF(E281="","",ตั้งค่า!$B$4+SUM($H$5:H281)-SUM($I$5:I281))</f>
        <v/>
      </c>
      <c r="K281" s="22" t="str">
        <f aca="false">IF(A281="","",MONTH(A281))</f>
        <v/>
      </c>
      <c r="L281" s="22" t="str">
        <f aca="false">IF(A281="","",YEAR(A281))</f>
        <v/>
      </c>
    </row>
    <row r="282" customFormat="false" ht="15" hidden="false" customHeight="false" outlineLevel="0" collapsed="false">
      <c r="A282" s="23"/>
      <c r="B282" s="24"/>
      <c r="C282" s="24"/>
      <c r="D282" s="20" t="str">
        <f aca="false">IF(C282="","",IF(COUNTIF(ตั้งค่า!$A$7:$A$18,C282)&gt;0,"รายรับ",IF(COUNTIF(ตั้งค่า!$C$7:$C$31,C282)&gt;0,"รายจ่าย","ไม่พบหมวดหมู่")))</f>
        <v/>
      </c>
      <c r="E282" s="25"/>
      <c r="F282" s="24"/>
      <c r="G282" s="24"/>
      <c r="H282" s="21" t="n">
        <f aca="false">IF(OR(E282="",D282&lt;&gt;"รายรับ"),0,E282)</f>
        <v>0</v>
      </c>
      <c r="I282" s="21" t="n">
        <f aca="false">IF(OR(E282="",D282&lt;&gt;"รายจ่าย"),0,E282)</f>
        <v>0</v>
      </c>
      <c r="J282" s="21" t="str">
        <f aca="false">IF(E282="","",ตั้งค่า!$B$4+SUM($H$5:H282)-SUM($I$5:I282))</f>
        <v/>
      </c>
      <c r="K282" s="22" t="str">
        <f aca="false">IF(A282="","",MONTH(A282))</f>
        <v/>
      </c>
      <c r="L282" s="22" t="str">
        <f aca="false">IF(A282="","",YEAR(A282))</f>
        <v/>
      </c>
    </row>
    <row r="283" customFormat="false" ht="15" hidden="false" customHeight="false" outlineLevel="0" collapsed="false">
      <c r="A283" s="23"/>
      <c r="B283" s="24"/>
      <c r="C283" s="24"/>
      <c r="D283" s="20" t="str">
        <f aca="false">IF(C283="","",IF(COUNTIF(ตั้งค่า!$A$7:$A$18,C283)&gt;0,"รายรับ",IF(COUNTIF(ตั้งค่า!$C$7:$C$31,C283)&gt;0,"รายจ่าย","ไม่พบหมวดหมู่")))</f>
        <v/>
      </c>
      <c r="E283" s="25"/>
      <c r="F283" s="24"/>
      <c r="G283" s="24"/>
      <c r="H283" s="21" t="n">
        <f aca="false">IF(OR(E283="",D283&lt;&gt;"รายรับ"),0,E283)</f>
        <v>0</v>
      </c>
      <c r="I283" s="21" t="n">
        <f aca="false">IF(OR(E283="",D283&lt;&gt;"รายจ่าย"),0,E283)</f>
        <v>0</v>
      </c>
      <c r="J283" s="21" t="str">
        <f aca="false">IF(E283="","",ตั้งค่า!$B$4+SUM($H$5:H283)-SUM($I$5:I283))</f>
        <v/>
      </c>
      <c r="K283" s="22" t="str">
        <f aca="false">IF(A283="","",MONTH(A283))</f>
        <v/>
      </c>
      <c r="L283" s="22" t="str">
        <f aca="false">IF(A283="","",YEAR(A283))</f>
        <v/>
      </c>
    </row>
    <row r="284" customFormat="false" ht="15" hidden="false" customHeight="false" outlineLevel="0" collapsed="false">
      <c r="A284" s="23"/>
      <c r="B284" s="24"/>
      <c r="C284" s="24"/>
      <c r="D284" s="20" t="str">
        <f aca="false">IF(C284="","",IF(COUNTIF(ตั้งค่า!$A$7:$A$18,C284)&gt;0,"รายรับ",IF(COUNTIF(ตั้งค่า!$C$7:$C$31,C284)&gt;0,"รายจ่าย","ไม่พบหมวดหมู่")))</f>
        <v/>
      </c>
      <c r="E284" s="25"/>
      <c r="F284" s="24"/>
      <c r="G284" s="24"/>
      <c r="H284" s="21" t="n">
        <f aca="false">IF(OR(E284="",D284&lt;&gt;"รายรับ"),0,E284)</f>
        <v>0</v>
      </c>
      <c r="I284" s="21" t="n">
        <f aca="false">IF(OR(E284="",D284&lt;&gt;"รายจ่าย"),0,E284)</f>
        <v>0</v>
      </c>
      <c r="J284" s="21" t="str">
        <f aca="false">IF(E284="","",ตั้งค่า!$B$4+SUM($H$5:H284)-SUM($I$5:I284))</f>
        <v/>
      </c>
      <c r="K284" s="22" t="str">
        <f aca="false">IF(A284="","",MONTH(A284))</f>
        <v/>
      </c>
      <c r="L284" s="22" t="str">
        <f aca="false">IF(A284="","",YEAR(A284))</f>
        <v/>
      </c>
    </row>
    <row r="285" customFormat="false" ht="15" hidden="false" customHeight="false" outlineLevel="0" collapsed="false">
      <c r="A285" s="23"/>
      <c r="B285" s="24"/>
      <c r="C285" s="24"/>
      <c r="D285" s="20" t="str">
        <f aca="false">IF(C285="","",IF(COUNTIF(ตั้งค่า!$A$7:$A$18,C285)&gt;0,"รายรับ",IF(COUNTIF(ตั้งค่า!$C$7:$C$31,C285)&gt;0,"รายจ่าย","ไม่พบหมวดหมู่")))</f>
        <v/>
      </c>
      <c r="E285" s="25"/>
      <c r="F285" s="24"/>
      <c r="G285" s="24"/>
      <c r="H285" s="21" t="n">
        <f aca="false">IF(OR(E285="",D285&lt;&gt;"รายรับ"),0,E285)</f>
        <v>0</v>
      </c>
      <c r="I285" s="21" t="n">
        <f aca="false">IF(OR(E285="",D285&lt;&gt;"รายจ่าย"),0,E285)</f>
        <v>0</v>
      </c>
      <c r="J285" s="21" t="str">
        <f aca="false">IF(E285="","",ตั้งค่า!$B$4+SUM($H$5:H285)-SUM($I$5:I285))</f>
        <v/>
      </c>
      <c r="K285" s="22" t="str">
        <f aca="false">IF(A285="","",MONTH(A285))</f>
        <v/>
      </c>
      <c r="L285" s="22" t="str">
        <f aca="false">IF(A285="","",YEAR(A285))</f>
        <v/>
      </c>
    </row>
    <row r="286" customFormat="false" ht="15" hidden="false" customHeight="false" outlineLevel="0" collapsed="false">
      <c r="A286" s="23"/>
      <c r="B286" s="24"/>
      <c r="C286" s="24"/>
      <c r="D286" s="20" t="str">
        <f aca="false">IF(C286="","",IF(COUNTIF(ตั้งค่า!$A$7:$A$18,C286)&gt;0,"รายรับ",IF(COUNTIF(ตั้งค่า!$C$7:$C$31,C286)&gt;0,"รายจ่าย","ไม่พบหมวดหมู่")))</f>
        <v/>
      </c>
      <c r="E286" s="25"/>
      <c r="F286" s="24"/>
      <c r="G286" s="24"/>
      <c r="H286" s="21" t="n">
        <f aca="false">IF(OR(E286="",D286&lt;&gt;"รายรับ"),0,E286)</f>
        <v>0</v>
      </c>
      <c r="I286" s="21" t="n">
        <f aca="false">IF(OR(E286="",D286&lt;&gt;"รายจ่าย"),0,E286)</f>
        <v>0</v>
      </c>
      <c r="J286" s="21" t="str">
        <f aca="false">IF(E286="","",ตั้งค่า!$B$4+SUM($H$5:H286)-SUM($I$5:I286))</f>
        <v/>
      </c>
      <c r="K286" s="22" t="str">
        <f aca="false">IF(A286="","",MONTH(A286))</f>
        <v/>
      </c>
      <c r="L286" s="22" t="str">
        <f aca="false">IF(A286="","",YEAR(A286))</f>
        <v/>
      </c>
    </row>
    <row r="287" customFormat="false" ht="15" hidden="false" customHeight="false" outlineLevel="0" collapsed="false">
      <c r="A287" s="23"/>
      <c r="B287" s="24"/>
      <c r="C287" s="24"/>
      <c r="D287" s="20" t="str">
        <f aca="false">IF(C287="","",IF(COUNTIF(ตั้งค่า!$A$7:$A$18,C287)&gt;0,"รายรับ",IF(COUNTIF(ตั้งค่า!$C$7:$C$31,C287)&gt;0,"รายจ่าย","ไม่พบหมวดหมู่")))</f>
        <v/>
      </c>
      <c r="E287" s="25"/>
      <c r="F287" s="24"/>
      <c r="G287" s="24"/>
      <c r="H287" s="21" t="n">
        <f aca="false">IF(OR(E287="",D287&lt;&gt;"รายรับ"),0,E287)</f>
        <v>0</v>
      </c>
      <c r="I287" s="21" t="n">
        <f aca="false">IF(OR(E287="",D287&lt;&gt;"รายจ่าย"),0,E287)</f>
        <v>0</v>
      </c>
      <c r="J287" s="21" t="str">
        <f aca="false">IF(E287="","",ตั้งค่า!$B$4+SUM($H$5:H287)-SUM($I$5:I287))</f>
        <v/>
      </c>
      <c r="K287" s="22" t="str">
        <f aca="false">IF(A287="","",MONTH(A287))</f>
        <v/>
      </c>
      <c r="L287" s="22" t="str">
        <f aca="false">IF(A287="","",YEAR(A287))</f>
        <v/>
      </c>
    </row>
    <row r="288" customFormat="false" ht="15" hidden="false" customHeight="false" outlineLevel="0" collapsed="false">
      <c r="A288" s="23"/>
      <c r="B288" s="24"/>
      <c r="C288" s="24"/>
      <c r="D288" s="20" t="str">
        <f aca="false">IF(C288="","",IF(COUNTIF(ตั้งค่า!$A$7:$A$18,C288)&gt;0,"รายรับ",IF(COUNTIF(ตั้งค่า!$C$7:$C$31,C288)&gt;0,"รายจ่าย","ไม่พบหมวดหมู่")))</f>
        <v/>
      </c>
      <c r="E288" s="25"/>
      <c r="F288" s="24"/>
      <c r="G288" s="24"/>
      <c r="H288" s="21" t="n">
        <f aca="false">IF(OR(E288="",D288&lt;&gt;"รายรับ"),0,E288)</f>
        <v>0</v>
      </c>
      <c r="I288" s="21" t="n">
        <f aca="false">IF(OR(E288="",D288&lt;&gt;"รายจ่าย"),0,E288)</f>
        <v>0</v>
      </c>
      <c r="J288" s="21" t="str">
        <f aca="false">IF(E288="","",ตั้งค่า!$B$4+SUM($H$5:H288)-SUM($I$5:I288))</f>
        <v/>
      </c>
      <c r="K288" s="22" t="str">
        <f aca="false">IF(A288="","",MONTH(A288))</f>
        <v/>
      </c>
      <c r="L288" s="22" t="str">
        <f aca="false">IF(A288="","",YEAR(A288))</f>
        <v/>
      </c>
    </row>
    <row r="289" customFormat="false" ht="15" hidden="false" customHeight="false" outlineLevel="0" collapsed="false">
      <c r="A289" s="23"/>
      <c r="B289" s="24"/>
      <c r="C289" s="24"/>
      <c r="D289" s="20" t="str">
        <f aca="false">IF(C289="","",IF(COUNTIF(ตั้งค่า!$A$7:$A$18,C289)&gt;0,"รายรับ",IF(COUNTIF(ตั้งค่า!$C$7:$C$31,C289)&gt;0,"รายจ่าย","ไม่พบหมวดหมู่")))</f>
        <v/>
      </c>
      <c r="E289" s="25"/>
      <c r="F289" s="24"/>
      <c r="G289" s="24"/>
      <c r="H289" s="21" t="n">
        <f aca="false">IF(OR(E289="",D289&lt;&gt;"รายรับ"),0,E289)</f>
        <v>0</v>
      </c>
      <c r="I289" s="21" t="n">
        <f aca="false">IF(OR(E289="",D289&lt;&gt;"รายจ่าย"),0,E289)</f>
        <v>0</v>
      </c>
      <c r="J289" s="21" t="str">
        <f aca="false">IF(E289="","",ตั้งค่า!$B$4+SUM($H$5:H289)-SUM($I$5:I289))</f>
        <v/>
      </c>
      <c r="K289" s="22" t="str">
        <f aca="false">IF(A289="","",MONTH(A289))</f>
        <v/>
      </c>
      <c r="L289" s="22" t="str">
        <f aca="false">IF(A289="","",YEAR(A289))</f>
        <v/>
      </c>
    </row>
    <row r="290" customFormat="false" ht="15" hidden="false" customHeight="false" outlineLevel="0" collapsed="false">
      <c r="A290" s="23"/>
      <c r="B290" s="24"/>
      <c r="C290" s="24"/>
      <c r="D290" s="20" t="str">
        <f aca="false">IF(C290="","",IF(COUNTIF(ตั้งค่า!$A$7:$A$18,C290)&gt;0,"รายรับ",IF(COUNTIF(ตั้งค่า!$C$7:$C$31,C290)&gt;0,"รายจ่าย","ไม่พบหมวดหมู่")))</f>
        <v/>
      </c>
      <c r="E290" s="25"/>
      <c r="F290" s="24"/>
      <c r="G290" s="24"/>
      <c r="H290" s="21" t="n">
        <f aca="false">IF(OR(E290="",D290&lt;&gt;"รายรับ"),0,E290)</f>
        <v>0</v>
      </c>
      <c r="I290" s="21" t="n">
        <f aca="false">IF(OR(E290="",D290&lt;&gt;"รายจ่าย"),0,E290)</f>
        <v>0</v>
      </c>
      <c r="J290" s="21" t="str">
        <f aca="false">IF(E290="","",ตั้งค่า!$B$4+SUM($H$5:H290)-SUM($I$5:I290))</f>
        <v/>
      </c>
      <c r="K290" s="22" t="str">
        <f aca="false">IF(A290="","",MONTH(A290))</f>
        <v/>
      </c>
      <c r="L290" s="22" t="str">
        <f aca="false">IF(A290="","",YEAR(A290))</f>
        <v/>
      </c>
    </row>
    <row r="291" customFormat="false" ht="15" hidden="false" customHeight="false" outlineLevel="0" collapsed="false">
      <c r="A291" s="23"/>
      <c r="B291" s="24"/>
      <c r="C291" s="24"/>
      <c r="D291" s="20" t="str">
        <f aca="false">IF(C291="","",IF(COUNTIF(ตั้งค่า!$A$7:$A$18,C291)&gt;0,"รายรับ",IF(COUNTIF(ตั้งค่า!$C$7:$C$31,C291)&gt;0,"รายจ่าย","ไม่พบหมวดหมู่")))</f>
        <v/>
      </c>
      <c r="E291" s="25"/>
      <c r="F291" s="24"/>
      <c r="G291" s="24"/>
      <c r="H291" s="21" t="n">
        <f aca="false">IF(OR(E291="",D291&lt;&gt;"รายรับ"),0,E291)</f>
        <v>0</v>
      </c>
      <c r="I291" s="21" t="n">
        <f aca="false">IF(OR(E291="",D291&lt;&gt;"รายจ่าย"),0,E291)</f>
        <v>0</v>
      </c>
      <c r="J291" s="21" t="str">
        <f aca="false">IF(E291="","",ตั้งค่า!$B$4+SUM($H$5:H291)-SUM($I$5:I291))</f>
        <v/>
      </c>
      <c r="K291" s="22" t="str">
        <f aca="false">IF(A291="","",MONTH(A291))</f>
        <v/>
      </c>
      <c r="L291" s="22" t="str">
        <f aca="false">IF(A291="","",YEAR(A291))</f>
        <v/>
      </c>
    </row>
    <row r="292" customFormat="false" ht="15" hidden="false" customHeight="false" outlineLevel="0" collapsed="false">
      <c r="A292" s="23"/>
      <c r="B292" s="24"/>
      <c r="C292" s="24"/>
      <c r="D292" s="20" t="str">
        <f aca="false">IF(C292="","",IF(COUNTIF(ตั้งค่า!$A$7:$A$18,C292)&gt;0,"รายรับ",IF(COUNTIF(ตั้งค่า!$C$7:$C$31,C292)&gt;0,"รายจ่าย","ไม่พบหมวดหมู่")))</f>
        <v/>
      </c>
      <c r="E292" s="25"/>
      <c r="F292" s="24"/>
      <c r="G292" s="24"/>
      <c r="H292" s="21" t="n">
        <f aca="false">IF(OR(E292="",D292&lt;&gt;"รายรับ"),0,E292)</f>
        <v>0</v>
      </c>
      <c r="I292" s="21" t="n">
        <f aca="false">IF(OR(E292="",D292&lt;&gt;"รายจ่าย"),0,E292)</f>
        <v>0</v>
      </c>
      <c r="J292" s="21" t="str">
        <f aca="false">IF(E292="","",ตั้งค่า!$B$4+SUM($H$5:H292)-SUM($I$5:I292))</f>
        <v/>
      </c>
      <c r="K292" s="22" t="str">
        <f aca="false">IF(A292="","",MONTH(A292))</f>
        <v/>
      </c>
      <c r="L292" s="22" t="str">
        <f aca="false">IF(A292="","",YEAR(A292))</f>
        <v/>
      </c>
    </row>
    <row r="293" customFormat="false" ht="15" hidden="false" customHeight="false" outlineLevel="0" collapsed="false">
      <c r="A293" s="23"/>
      <c r="B293" s="24"/>
      <c r="C293" s="24"/>
      <c r="D293" s="20" t="str">
        <f aca="false">IF(C293="","",IF(COUNTIF(ตั้งค่า!$A$7:$A$18,C293)&gt;0,"รายรับ",IF(COUNTIF(ตั้งค่า!$C$7:$C$31,C293)&gt;0,"รายจ่าย","ไม่พบหมวดหมู่")))</f>
        <v/>
      </c>
      <c r="E293" s="25"/>
      <c r="F293" s="24"/>
      <c r="G293" s="24"/>
      <c r="H293" s="21" t="n">
        <f aca="false">IF(OR(E293="",D293&lt;&gt;"รายรับ"),0,E293)</f>
        <v>0</v>
      </c>
      <c r="I293" s="21" t="n">
        <f aca="false">IF(OR(E293="",D293&lt;&gt;"รายจ่าย"),0,E293)</f>
        <v>0</v>
      </c>
      <c r="J293" s="21" t="str">
        <f aca="false">IF(E293="","",ตั้งค่า!$B$4+SUM($H$5:H293)-SUM($I$5:I293))</f>
        <v/>
      </c>
      <c r="K293" s="22" t="str">
        <f aca="false">IF(A293="","",MONTH(A293))</f>
        <v/>
      </c>
      <c r="L293" s="22" t="str">
        <f aca="false">IF(A293="","",YEAR(A293))</f>
        <v/>
      </c>
    </row>
    <row r="294" customFormat="false" ht="15" hidden="false" customHeight="false" outlineLevel="0" collapsed="false">
      <c r="A294" s="23"/>
      <c r="B294" s="24"/>
      <c r="C294" s="24"/>
      <c r="D294" s="20" t="str">
        <f aca="false">IF(C294="","",IF(COUNTIF(ตั้งค่า!$A$7:$A$18,C294)&gt;0,"รายรับ",IF(COUNTIF(ตั้งค่า!$C$7:$C$31,C294)&gt;0,"รายจ่าย","ไม่พบหมวดหมู่")))</f>
        <v/>
      </c>
      <c r="E294" s="25"/>
      <c r="F294" s="24"/>
      <c r="G294" s="24"/>
      <c r="H294" s="21" t="n">
        <f aca="false">IF(OR(E294="",D294&lt;&gt;"รายรับ"),0,E294)</f>
        <v>0</v>
      </c>
      <c r="I294" s="21" t="n">
        <f aca="false">IF(OR(E294="",D294&lt;&gt;"รายจ่าย"),0,E294)</f>
        <v>0</v>
      </c>
      <c r="J294" s="21" t="str">
        <f aca="false">IF(E294="","",ตั้งค่า!$B$4+SUM($H$5:H294)-SUM($I$5:I294))</f>
        <v/>
      </c>
      <c r="K294" s="22" t="str">
        <f aca="false">IF(A294="","",MONTH(A294))</f>
        <v/>
      </c>
      <c r="L294" s="22" t="str">
        <f aca="false">IF(A294="","",YEAR(A294))</f>
        <v/>
      </c>
    </row>
    <row r="295" customFormat="false" ht="15" hidden="false" customHeight="false" outlineLevel="0" collapsed="false">
      <c r="A295" s="23"/>
      <c r="B295" s="24"/>
      <c r="C295" s="24"/>
      <c r="D295" s="20" t="str">
        <f aca="false">IF(C295="","",IF(COUNTIF(ตั้งค่า!$A$7:$A$18,C295)&gt;0,"รายรับ",IF(COUNTIF(ตั้งค่า!$C$7:$C$31,C295)&gt;0,"รายจ่าย","ไม่พบหมวดหมู่")))</f>
        <v/>
      </c>
      <c r="E295" s="25"/>
      <c r="F295" s="24"/>
      <c r="G295" s="24"/>
      <c r="H295" s="21" t="n">
        <f aca="false">IF(OR(E295="",D295&lt;&gt;"รายรับ"),0,E295)</f>
        <v>0</v>
      </c>
      <c r="I295" s="21" t="n">
        <f aca="false">IF(OR(E295="",D295&lt;&gt;"รายจ่าย"),0,E295)</f>
        <v>0</v>
      </c>
      <c r="J295" s="21" t="str">
        <f aca="false">IF(E295="","",ตั้งค่า!$B$4+SUM($H$5:H295)-SUM($I$5:I295))</f>
        <v/>
      </c>
      <c r="K295" s="22" t="str">
        <f aca="false">IF(A295="","",MONTH(A295))</f>
        <v/>
      </c>
      <c r="L295" s="22" t="str">
        <f aca="false">IF(A295="","",YEAR(A295))</f>
        <v/>
      </c>
    </row>
    <row r="296" customFormat="false" ht="15" hidden="false" customHeight="false" outlineLevel="0" collapsed="false">
      <c r="A296" s="23"/>
      <c r="B296" s="24"/>
      <c r="C296" s="24"/>
      <c r="D296" s="20" t="str">
        <f aca="false">IF(C296="","",IF(COUNTIF(ตั้งค่า!$A$7:$A$18,C296)&gt;0,"รายรับ",IF(COUNTIF(ตั้งค่า!$C$7:$C$31,C296)&gt;0,"รายจ่าย","ไม่พบหมวดหมู่")))</f>
        <v/>
      </c>
      <c r="E296" s="25"/>
      <c r="F296" s="24"/>
      <c r="G296" s="24"/>
      <c r="H296" s="21" t="n">
        <f aca="false">IF(OR(E296="",D296&lt;&gt;"รายรับ"),0,E296)</f>
        <v>0</v>
      </c>
      <c r="I296" s="21" t="n">
        <f aca="false">IF(OR(E296="",D296&lt;&gt;"รายจ่าย"),0,E296)</f>
        <v>0</v>
      </c>
      <c r="J296" s="21" t="str">
        <f aca="false">IF(E296="","",ตั้งค่า!$B$4+SUM($H$5:H296)-SUM($I$5:I296))</f>
        <v/>
      </c>
      <c r="K296" s="22" t="str">
        <f aca="false">IF(A296="","",MONTH(A296))</f>
        <v/>
      </c>
      <c r="L296" s="22" t="str">
        <f aca="false">IF(A296="","",YEAR(A296))</f>
        <v/>
      </c>
    </row>
    <row r="297" customFormat="false" ht="15" hidden="false" customHeight="false" outlineLevel="0" collapsed="false">
      <c r="A297" s="23"/>
      <c r="B297" s="24"/>
      <c r="C297" s="24"/>
      <c r="D297" s="20" t="str">
        <f aca="false">IF(C297="","",IF(COUNTIF(ตั้งค่า!$A$7:$A$18,C297)&gt;0,"รายรับ",IF(COUNTIF(ตั้งค่า!$C$7:$C$31,C297)&gt;0,"รายจ่าย","ไม่พบหมวดหมู่")))</f>
        <v/>
      </c>
      <c r="E297" s="25"/>
      <c r="F297" s="24"/>
      <c r="G297" s="24"/>
      <c r="H297" s="21" t="n">
        <f aca="false">IF(OR(E297="",D297&lt;&gt;"รายรับ"),0,E297)</f>
        <v>0</v>
      </c>
      <c r="I297" s="21" t="n">
        <f aca="false">IF(OR(E297="",D297&lt;&gt;"รายจ่าย"),0,E297)</f>
        <v>0</v>
      </c>
      <c r="J297" s="21" t="str">
        <f aca="false">IF(E297="","",ตั้งค่า!$B$4+SUM($H$5:H297)-SUM($I$5:I297))</f>
        <v/>
      </c>
      <c r="K297" s="22" t="str">
        <f aca="false">IF(A297="","",MONTH(A297))</f>
        <v/>
      </c>
      <c r="L297" s="22" t="str">
        <f aca="false">IF(A297="","",YEAR(A297))</f>
        <v/>
      </c>
    </row>
    <row r="298" customFormat="false" ht="15" hidden="false" customHeight="false" outlineLevel="0" collapsed="false">
      <c r="A298" s="23"/>
      <c r="B298" s="24"/>
      <c r="C298" s="24"/>
      <c r="D298" s="20" t="str">
        <f aca="false">IF(C298="","",IF(COUNTIF(ตั้งค่า!$A$7:$A$18,C298)&gt;0,"รายรับ",IF(COUNTIF(ตั้งค่า!$C$7:$C$31,C298)&gt;0,"รายจ่าย","ไม่พบหมวดหมู่")))</f>
        <v/>
      </c>
      <c r="E298" s="25"/>
      <c r="F298" s="24"/>
      <c r="G298" s="24"/>
      <c r="H298" s="21" t="n">
        <f aca="false">IF(OR(E298="",D298&lt;&gt;"รายรับ"),0,E298)</f>
        <v>0</v>
      </c>
      <c r="I298" s="21" t="n">
        <f aca="false">IF(OR(E298="",D298&lt;&gt;"รายจ่าย"),0,E298)</f>
        <v>0</v>
      </c>
      <c r="J298" s="21" t="str">
        <f aca="false">IF(E298="","",ตั้งค่า!$B$4+SUM($H$5:H298)-SUM($I$5:I298))</f>
        <v/>
      </c>
      <c r="K298" s="22" t="str">
        <f aca="false">IF(A298="","",MONTH(A298))</f>
        <v/>
      </c>
      <c r="L298" s="22" t="str">
        <f aca="false">IF(A298="","",YEAR(A298))</f>
        <v/>
      </c>
    </row>
    <row r="299" customFormat="false" ht="15" hidden="false" customHeight="false" outlineLevel="0" collapsed="false">
      <c r="A299" s="23"/>
      <c r="B299" s="24"/>
      <c r="C299" s="24"/>
      <c r="D299" s="20" t="str">
        <f aca="false">IF(C299="","",IF(COUNTIF(ตั้งค่า!$A$7:$A$18,C299)&gt;0,"รายรับ",IF(COUNTIF(ตั้งค่า!$C$7:$C$31,C299)&gt;0,"รายจ่าย","ไม่พบหมวดหมู่")))</f>
        <v/>
      </c>
      <c r="E299" s="25"/>
      <c r="F299" s="24"/>
      <c r="G299" s="24"/>
      <c r="H299" s="21" t="n">
        <f aca="false">IF(OR(E299="",D299&lt;&gt;"รายรับ"),0,E299)</f>
        <v>0</v>
      </c>
      <c r="I299" s="21" t="n">
        <f aca="false">IF(OR(E299="",D299&lt;&gt;"รายจ่าย"),0,E299)</f>
        <v>0</v>
      </c>
      <c r="J299" s="21" t="str">
        <f aca="false">IF(E299="","",ตั้งค่า!$B$4+SUM($H$5:H299)-SUM($I$5:I299))</f>
        <v/>
      </c>
      <c r="K299" s="22" t="str">
        <f aca="false">IF(A299="","",MONTH(A299))</f>
        <v/>
      </c>
      <c r="L299" s="22" t="str">
        <f aca="false">IF(A299="","",YEAR(A299))</f>
        <v/>
      </c>
    </row>
    <row r="300" customFormat="false" ht="15" hidden="false" customHeight="false" outlineLevel="0" collapsed="false">
      <c r="A300" s="23"/>
      <c r="B300" s="24"/>
      <c r="C300" s="24"/>
      <c r="D300" s="20" t="str">
        <f aca="false">IF(C300="","",IF(COUNTIF(ตั้งค่า!$A$7:$A$18,C300)&gt;0,"รายรับ",IF(COUNTIF(ตั้งค่า!$C$7:$C$31,C300)&gt;0,"รายจ่าย","ไม่พบหมวดหมู่")))</f>
        <v/>
      </c>
      <c r="E300" s="25"/>
      <c r="F300" s="24"/>
      <c r="G300" s="24"/>
      <c r="H300" s="21" t="n">
        <f aca="false">IF(OR(E300="",D300&lt;&gt;"รายรับ"),0,E300)</f>
        <v>0</v>
      </c>
      <c r="I300" s="21" t="n">
        <f aca="false">IF(OR(E300="",D300&lt;&gt;"รายจ่าย"),0,E300)</f>
        <v>0</v>
      </c>
      <c r="J300" s="21" t="str">
        <f aca="false">IF(E300="","",ตั้งค่า!$B$4+SUM($H$5:H300)-SUM($I$5:I300))</f>
        <v/>
      </c>
      <c r="K300" s="22" t="str">
        <f aca="false">IF(A300="","",MONTH(A300))</f>
        <v/>
      </c>
      <c r="L300" s="22" t="str">
        <f aca="false">IF(A300="","",YEAR(A300))</f>
        <v/>
      </c>
    </row>
    <row r="301" customFormat="false" ht="15" hidden="false" customHeight="false" outlineLevel="0" collapsed="false">
      <c r="A301" s="23"/>
      <c r="B301" s="24"/>
      <c r="C301" s="24"/>
      <c r="D301" s="20" t="str">
        <f aca="false">IF(C301="","",IF(COUNTIF(ตั้งค่า!$A$7:$A$18,C301)&gt;0,"รายรับ",IF(COUNTIF(ตั้งค่า!$C$7:$C$31,C301)&gt;0,"รายจ่าย","ไม่พบหมวดหมู่")))</f>
        <v/>
      </c>
      <c r="E301" s="25"/>
      <c r="F301" s="24"/>
      <c r="G301" s="24"/>
      <c r="H301" s="21" t="n">
        <f aca="false">IF(OR(E301="",D301&lt;&gt;"รายรับ"),0,E301)</f>
        <v>0</v>
      </c>
      <c r="I301" s="21" t="n">
        <f aca="false">IF(OR(E301="",D301&lt;&gt;"รายจ่าย"),0,E301)</f>
        <v>0</v>
      </c>
      <c r="J301" s="21" t="str">
        <f aca="false">IF(E301="","",ตั้งค่า!$B$4+SUM($H$5:H301)-SUM($I$5:I301))</f>
        <v/>
      </c>
      <c r="K301" s="22" t="str">
        <f aca="false">IF(A301="","",MONTH(A301))</f>
        <v/>
      </c>
      <c r="L301" s="22" t="str">
        <f aca="false">IF(A301="","",YEAR(A301))</f>
        <v/>
      </c>
    </row>
    <row r="302" customFormat="false" ht="15" hidden="false" customHeight="false" outlineLevel="0" collapsed="false">
      <c r="A302" s="23"/>
      <c r="B302" s="24"/>
      <c r="C302" s="24"/>
      <c r="D302" s="20" t="str">
        <f aca="false">IF(C302="","",IF(COUNTIF(ตั้งค่า!$A$7:$A$18,C302)&gt;0,"รายรับ",IF(COUNTIF(ตั้งค่า!$C$7:$C$31,C302)&gt;0,"รายจ่าย","ไม่พบหมวดหมู่")))</f>
        <v/>
      </c>
      <c r="E302" s="25"/>
      <c r="F302" s="24"/>
      <c r="G302" s="24"/>
      <c r="H302" s="21" t="n">
        <f aca="false">IF(OR(E302="",D302&lt;&gt;"รายรับ"),0,E302)</f>
        <v>0</v>
      </c>
      <c r="I302" s="21" t="n">
        <f aca="false">IF(OR(E302="",D302&lt;&gt;"รายจ่าย"),0,E302)</f>
        <v>0</v>
      </c>
      <c r="J302" s="21" t="str">
        <f aca="false">IF(E302="","",ตั้งค่า!$B$4+SUM($H$5:H302)-SUM($I$5:I302))</f>
        <v/>
      </c>
      <c r="K302" s="22" t="str">
        <f aca="false">IF(A302="","",MONTH(A302))</f>
        <v/>
      </c>
      <c r="L302" s="22" t="str">
        <f aca="false">IF(A302="","",YEAR(A302))</f>
        <v/>
      </c>
    </row>
    <row r="303" customFormat="false" ht="15" hidden="false" customHeight="false" outlineLevel="0" collapsed="false">
      <c r="A303" s="23"/>
      <c r="B303" s="24"/>
      <c r="C303" s="24"/>
      <c r="D303" s="20" t="str">
        <f aca="false">IF(C303="","",IF(COUNTIF(ตั้งค่า!$A$7:$A$18,C303)&gt;0,"รายรับ",IF(COUNTIF(ตั้งค่า!$C$7:$C$31,C303)&gt;0,"รายจ่าย","ไม่พบหมวดหมู่")))</f>
        <v/>
      </c>
      <c r="E303" s="25"/>
      <c r="F303" s="24"/>
      <c r="G303" s="24"/>
      <c r="H303" s="21" t="n">
        <f aca="false">IF(OR(E303="",D303&lt;&gt;"รายรับ"),0,E303)</f>
        <v>0</v>
      </c>
      <c r="I303" s="21" t="n">
        <f aca="false">IF(OR(E303="",D303&lt;&gt;"รายจ่าย"),0,E303)</f>
        <v>0</v>
      </c>
      <c r="J303" s="21" t="str">
        <f aca="false">IF(E303="","",ตั้งค่า!$B$4+SUM($H$5:H303)-SUM($I$5:I303))</f>
        <v/>
      </c>
      <c r="K303" s="22" t="str">
        <f aca="false">IF(A303="","",MONTH(A303))</f>
        <v/>
      </c>
      <c r="L303" s="22" t="str">
        <f aca="false">IF(A303="","",YEAR(A303))</f>
        <v/>
      </c>
    </row>
    <row r="304" customFormat="false" ht="15" hidden="false" customHeight="false" outlineLevel="0" collapsed="false">
      <c r="A304" s="23"/>
      <c r="B304" s="24"/>
      <c r="C304" s="24"/>
      <c r="D304" s="20" t="str">
        <f aca="false">IF(C304="","",IF(COUNTIF(ตั้งค่า!$A$7:$A$18,C304)&gt;0,"รายรับ",IF(COUNTIF(ตั้งค่า!$C$7:$C$31,C304)&gt;0,"รายจ่าย","ไม่พบหมวดหมู่")))</f>
        <v/>
      </c>
      <c r="E304" s="25"/>
      <c r="F304" s="24"/>
      <c r="G304" s="24"/>
      <c r="H304" s="21" t="n">
        <f aca="false">IF(OR(E304="",D304&lt;&gt;"รายรับ"),0,E304)</f>
        <v>0</v>
      </c>
      <c r="I304" s="21" t="n">
        <f aca="false">IF(OR(E304="",D304&lt;&gt;"รายจ่าย"),0,E304)</f>
        <v>0</v>
      </c>
      <c r="J304" s="21" t="str">
        <f aca="false">IF(E304="","",ตั้งค่า!$B$4+SUM($H$5:H304)-SUM($I$5:I304))</f>
        <v/>
      </c>
      <c r="K304" s="22" t="str">
        <f aca="false">IF(A304="","",MONTH(A304))</f>
        <v/>
      </c>
      <c r="L304" s="22" t="str">
        <f aca="false">IF(A304="","",YEAR(A304))</f>
        <v/>
      </c>
    </row>
    <row r="305" customFormat="false" ht="15" hidden="false" customHeight="false" outlineLevel="0" collapsed="false">
      <c r="A305" s="23"/>
      <c r="B305" s="24"/>
      <c r="C305" s="24"/>
      <c r="D305" s="20" t="str">
        <f aca="false">IF(C305="","",IF(COUNTIF(ตั้งค่า!$A$7:$A$18,C305)&gt;0,"รายรับ",IF(COUNTIF(ตั้งค่า!$C$7:$C$31,C305)&gt;0,"รายจ่าย","ไม่พบหมวดหมู่")))</f>
        <v/>
      </c>
      <c r="E305" s="25"/>
      <c r="F305" s="24"/>
      <c r="G305" s="24"/>
      <c r="H305" s="21" t="n">
        <f aca="false">IF(OR(E305="",D305&lt;&gt;"รายรับ"),0,E305)</f>
        <v>0</v>
      </c>
      <c r="I305" s="21" t="n">
        <f aca="false">IF(OR(E305="",D305&lt;&gt;"รายจ่าย"),0,E305)</f>
        <v>0</v>
      </c>
      <c r="J305" s="21" t="str">
        <f aca="false">IF(E305="","",ตั้งค่า!$B$4+SUM($H$5:H305)-SUM($I$5:I305))</f>
        <v/>
      </c>
      <c r="K305" s="22" t="str">
        <f aca="false">IF(A305="","",MONTH(A305))</f>
        <v/>
      </c>
      <c r="L305" s="22" t="str">
        <f aca="false">IF(A305="","",YEAR(A305))</f>
        <v/>
      </c>
    </row>
    <row r="306" customFormat="false" ht="15" hidden="false" customHeight="false" outlineLevel="0" collapsed="false">
      <c r="A306" s="23"/>
      <c r="B306" s="24"/>
      <c r="C306" s="24"/>
      <c r="D306" s="20" t="str">
        <f aca="false">IF(C306="","",IF(COUNTIF(ตั้งค่า!$A$7:$A$18,C306)&gt;0,"รายรับ",IF(COUNTIF(ตั้งค่า!$C$7:$C$31,C306)&gt;0,"รายจ่าย","ไม่พบหมวดหมู่")))</f>
        <v/>
      </c>
      <c r="E306" s="25"/>
      <c r="F306" s="24"/>
      <c r="G306" s="24"/>
      <c r="H306" s="21" t="n">
        <f aca="false">IF(OR(E306="",D306&lt;&gt;"รายรับ"),0,E306)</f>
        <v>0</v>
      </c>
      <c r="I306" s="21" t="n">
        <f aca="false">IF(OR(E306="",D306&lt;&gt;"รายจ่าย"),0,E306)</f>
        <v>0</v>
      </c>
      <c r="J306" s="21" t="str">
        <f aca="false">IF(E306="","",ตั้งค่า!$B$4+SUM($H$5:H306)-SUM($I$5:I306))</f>
        <v/>
      </c>
      <c r="K306" s="22" t="str">
        <f aca="false">IF(A306="","",MONTH(A306))</f>
        <v/>
      </c>
      <c r="L306" s="22" t="str">
        <f aca="false">IF(A306="","",YEAR(A306))</f>
        <v/>
      </c>
    </row>
    <row r="307" customFormat="false" ht="15" hidden="false" customHeight="false" outlineLevel="0" collapsed="false">
      <c r="A307" s="23"/>
      <c r="B307" s="24"/>
      <c r="C307" s="24"/>
      <c r="D307" s="20" t="str">
        <f aca="false">IF(C307="","",IF(COUNTIF(ตั้งค่า!$A$7:$A$18,C307)&gt;0,"รายรับ",IF(COUNTIF(ตั้งค่า!$C$7:$C$31,C307)&gt;0,"รายจ่าย","ไม่พบหมวดหมู่")))</f>
        <v/>
      </c>
      <c r="E307" s="25"/>
      <c r="F307" s="24"/>
      <c r="G307" s="24"/>
      <c r="H307" s="21" t="n">
        <f aca="false">IF(OR(E307="",D307&lt;&gt;"รายรับ"),0,E307)</f>
        <v>0</v>
      </c>
      <c r="I307" s="21" t="n">
        <f aca="false">IF(OR(E307="",D307&lt;&gt;"รายจ่าย"),0,E307)</f>
        <v>0</v>
      </c>
      <c r="J307" s="21" t="str">
        <f aca="false">IF(E307="","",ตั้งค่า!$B$4+SUM($H$5:H307)-SUM($I$5:I307))</f>
        <v/>
      </c>
      <c r="K307" s="22" t="str">
        <f aca="false">IF(A307="","",MONTH(A307))</f>
        <v/>
      </c>
      <c r="L307" s="22" t="str">
        <f aca="false">IF(A307="","",YEAR(A307))</f>
        <v/>
      </c>
    </row>
    <row r="308" customFormat="false" ht="15" hidden="false" customHeight="false" outlineLevel="0" collapsed="false">
      <c r="A308" s="23"/>
      <c r="B308" s="24"/>
      <c r="C308" s="24"/>
      <c r="D308" s="20" t="str">
        <f aca="false">IF(C308="","",IF(COUNTIF(ตั้งค่า!$A$7:$A$18,C308)&gt;0,"รายรับ",IF(COUNTIF(ตั้งค่า!$C$7:$C$31,C308)&gt;0,"รายจ่าย","ไม่พบหมวดหมู่")))</f>
        <v/>
      </c>
      <c r="E308" s="25"/>
      <c r="F308" s="24"/>
      <c r="G308" s="24"/>
      <c r="H308" s="21" t="n">
        <f aca="false">IF(OR(E308="",D308&lt;&gt;"รายรับ"),0,E308)</f>
        <v>0</v>
      </c>
      <c r="I308" s="21" t="n">
        <f aca="false">IF(OR(E308="",D308&lt;&gt;"รายจ่าย"),0,E308)</f>
        <v>0</v>
      </c>
      <c r="J308" s="21" t="str">
        <f aca="false">IF(E308="","",ตั้งค่า!$B$4+SUM($H$5:H308)-SUM($I$5:I308))</f>
        <v/>
      </c>
      <c r="K308" s="22" t="str">
        <f aca="false">IF(A308="","",MONTH(A308))</f>
        <v/>
      </c>
      <c r="L308" s="22" t="str">
        <f aca="false">IF(A308="","",YEAR(A308))</f>
        <v/>
      </c>
    </row>
    <row r="309" customFormat="false" ht="15" hidden="false" customHeight="false" outlineLevel="0" collapsed="false">
      <c r="A309" s="23"/>
      <c r="B309" s="24"/>
      <c r="C309" s="24"/>
      <c r="D309" s="20" t="str">
        <f aca="false">IF(C309="","",IF(COUNTIF(ตั้งค่า!$A$7:$A$18,C309)&gt;0,"รายรับ",IF(COUNTIF(ตั้งค่า!$C$7:$C$31,C309)&gt;0,"รายจ่าย","ไม่พบหมวดหมู่")))</f>
        <v/>
      </c>
      <c r="E309" s="25"/>
      <c r="F309" s="24"/>
      <c r="G309" s="24"/>
      <c r="H309" s="21" t="n">
        <f aca="false">IF(OR(E309="",D309&lt;&gt;"รายรับ"),0,E309)</f>
        <v>0</v>
      </c>
      <c r="I309" s="21" t="n">
        <f aca="false">IF(OR(E309="",D309&lt;&gt;"รายจ่าย"),0,E309)</f>
        <v>0</v>
      </c>
      <c r="J309" s="21" t="str">
        <f aca="false">IF(E309="","",ตั้งค่า!$B$4+SUM($H$5:H309)-SUM($I$5:I309))</f>
        <v/>
      </c>
      <c r="K309" s="22" t="str">
        <f aca="false">IF(A309="","",MONTH(A309))</f>
        <v/>
      </c>
      <c r="L309" s="22" t="str">
        <f aca="false">IF(A309="","",YEAR(A309))</f>
        <v/>
      </c>
    </row>
    <row r="310" customFormat="false" ht="15" hidden="false" customHeight="false" outlineLevel="0" collapsed="false">
      <c r="A310" s="23"/>
      <c r="B310" s="24"/>
      <c r="C310" s="24"/>
      <c r="D310" s="20" t="str">
        <f aca="false">IF(C310="","",IF(COUNTIF(ตั้งค่า!$A$7:$A$18,C310)&gt;0,"รายรับ",IF(COUNTIF(ตั้งค่า!$C$7:$C$31,C310)&gt;0,"รายจ่าย","ไม่พบหมวดหมู่")))</f>
        <v/>
      </c>
      <c r="E310" s="25"/>
      <c r="F310" s="24"/>
      <c r="G310" s="24"/>
      <c r="H310" s="21" t="n">
        <f aca="false">IF(OR(E310="",D310&lt;&gt;"รายรับ"),0,E310)</f>
        <v>0</v>
      </c>
      <c r="I310" s="21" t="n">
        <f aca="false">IF(OR(E310="",D310&lt;&gt;"รายจ่าย"),0,E310)</f>
        <v>0</v>
      </c>
      <c r="J310" s="21" t="str">
        <f aca="false">IF(E310="","",ตั้งค่า!$B$4+SUM($H$5:H310)-SUM($I$5:I310))</f>
        <v/>
      </c>
      <c r="K310" s="22" t="str">
        <f aca="false">IF(A310="","",MONTH(A310))</f>
        <v/>
      </c>
      <c r="L310" s="22" t="str">
        <f aca="false">IF(A310="","",YEAR(A310))</f>
        <v/>
      </c>
    </row>
    <row r="311" customFormat="false" ht="15" hidden="false" customHeight="false" outlineLevel="0" collapsed="false">
      <c r="A311" s="23"/>
      <c r="B311" s="24"/>
      <c r="C311" s="24"/>
      <c r="D311" s="20" t="str">
        <f aca="false">IF(C311="","",IF(COUNTIF(ตั้งค่า!$A$7:$A$18,C311)&gt;0,"รายรับ",IF(COUNTIF(ตั้งค่า!$C$7:$C$31,C311)&gt;0,"รายจ่าย","ไม่พบหมวดหมู่")))</f>
        <v/>
      </c>
      <c r="E311" s="25"/>
      <c r="F311" s="24"/>
      <c r="G311" s="24"/>
      <c r="H311" s="21" t="n">
        <f aca="false">IF(OR(E311="",D311&lt;&gt;"รายรับ"),0,E311)</f>
        <v>0</v>
      </c>
      <c r="I311" s="21" t="n">
        <f aca="false">IF(OR(E311="",D311&lt;&gt;"รายจ่าย"),0,E311)</f>
        <v>0</v>
      </c>
      <c r="J311" s="21" t="str">
        <f aca="false">IF(E311="","",ตั้งค่า!$B$4+SUM($H$5:H311)-SUM($I$5:I311))</f>
        <v/>
      </c>
      <c r="K311" s="22" t="str">
        <f aca="false">IF(A311="","",MONTH(A311))</f>
        <v/>
      </c>
      <c r="L311" s="22" t="str">
        <f aca="false">IF(A311="","",YEAR(A311))</f>
        <v/>
      </c>
    </row>
    <row r="312" customFormat="false" ht="15" hidden="false" customHeight="false" outlineLevel="0" collapsed="false">
      <c r="A312" s="23"/>
      <c r="B312" s="24"/>
      <c r="C312" s="24"/>
      <c r="D312" s="20" t="str">
        <f aca="false">IF(C312="","",IF(COUNTIF(ตั้งค่า!$A$7:$A$18,C312)&gt;0,"รายรับ",IF(COUNTIF(ตั้งค่า!$C$7:$C$31,C312)&gt;0,"รายจ่าย","ไม่พบหมวดหมู่")))</f>
        <v/>
      </c>
      <c r="E312" s="25"/>
      <c r="F312" s="24"/>
      <c r="G312" s="24"/>
      <c r="H312" s="21" t="n">
        <f aca="false">IF(OR(E312="",D312&lt;&gt;"รายรับ"),0,E312)</f>
        <v>0</v>
      </c>
      <c r="I312" s="21" t="n">
        <f aca="false">IF(OR(E312="",D312&lt;&gt;"รายจ่าย"),0,E312)</f>
        <v>0</v>
      </c>
      <c r="J312" s="21" t="str">
        <f aca="false">IF(E312="","",ตั้งค่า!$B$4+SUM($H$5:H312)-SUM($I$5:I312))</f>
        <v/>
      </c>
      <c r="K312" s="22" t="str">
        <f aca="false">IF(A312="","",MONTH(A312))</f>
        <v/>
      </c>
      <c r="L312" s="22" t="str">
        <f aca="false">IF(A312="","",YEAR(A312))</f>
        <v/>
      </c>
    </row>
    <row r="313" customFormat="false" ht="15" hidden="false" customHeight="false" outlineLevel="0" collapsed="false">
      <c r="A313" s="23"/>
      <c r="B313" s="24"/>
      <c r="C313" s="24"/>
      <c r="D313" s="20" t="str">
        <f aca="false">IF(C313="","",IF(COUNTIF(ตั้งค่า!$A$7:$A$18,C313)&gt;0,"รายรับ",IF(COUNTIF(ตั้งค่า!$C$7:$C$31,C313)&gt;0,"รายจ่าย","ไม่พบหมวดหมู่")))</f>
        <v/>
      </c>
      <c r="E313" s="25"/>
      <c r="F313" s="24"/>
      <c r="G313" s="24"/>
      <c r="H313" s="21" t="n">
        <f aca="false">IF(OR(E313="",D313&lt;&gt;"รายรับ"),0,E313)</f>
        <v>0</v>
      </c>
      <c r="I313" s="21" t="n">
        <f aca="false">IF(OR(E313="",D313&lt;&gt;"รายจ่าย"),0,E313)</f>
        <v>0</v>
      </c>
      <c r="J313" s="21" t="str">
        <f aca="false">IF(E313="","",ตั้งค่า!$B$4+SUM($H$5:H313)-SUM($I$5:I313))</f>
        <v/>
      </c>
      <c r="K313" s="22" t="str">
        <f aca="false">IF(A313="","",MONTH(A313))</f>
        <v/>
      </c>
      <c r="L313" s="22" t="str">
        <f aca="false">IF(A313="","",YEAR(A313))</f>
        <v/>
      </c>
    </row>
    <row r="314" customFormat="false" ht="15" hidden="false" customHeight="false" outlineLevel="0" collapsed="false">
      <c r="A314" s="23"/>
      <c r="B314" s="24"/>
      <c r="C314" s="24"/>
      <c r="D314" s="20" t="str">
        <f aca="false">IF(C314="","",IF(COUNTIF(ตั้งค่า!$A$7:$A$18,C314)&gt;0,"รายรับ",IF(COUNTIF(ตั้งค่า!$C$7:$C$31,C314)&gt;0,"รายจ่าย","ไม่พบหมวดหมู่")))</f>
        <v/>
      </c>
      <c r="E314" s="25"/>
      <c r="F314" s="24"/>
      <c r="G314" s="24"/>
      <c r="H314" s="21" t="n">
        <f aca="false">IF(OR(E314="",D314&lt;&gt;"รายรับ"),0,E314)</f>
        <v>0</v>
      </c>
      <c r="I314" s="21" t="n">
        <f aca="false">IF(OR(E314="",D314&lt;&gt;"รายจ่าย"),0,E314)</f>
        <v>0</v>
      </c>
      <c r="J314" s="21" t="str">
        <f aca="false">IF(E314="","",ตั้งค่า!$B$4+SUM($H$5:H314)-SUM($I$5:I314))</f>
        <v/>
      </c>
      <c r="K314" s="22" t="str">
        <f aca="false">IF(A314="","",MONTH(A314))</f>
        <v/>
      </c>
      <c r="L314" s="22" t="str">
        <f aca="false">IF(A314="","",YEAR(A314))</f>
        <v/>
      </c>
    </row>
    <row r="315" customFormat="false" ht="15" hidden="false" customHeight="false" outlineLevel="0" collapsed="false">
      <c r="A315" s="23"/>
      <c r="B315" s="24"/>
      <c r="C315" s="24"/>
      <c r="D315" s="20" t="str">
        <f aca="false">IF(C315="","",IF(COUNTIF(ตั้งค่า!$A$7:$A$18,C315)&gt;0,"รายรับ",IF(COUNTIF(ตั้งค่า!$C$7:$C$31,C315)&gt;0,"รายจ่าย","ไม่พบหมวดหมู่")))</f>
        <v/>
      </c>
      <c r="E315" s="25"/>
      <c r="F315" s="24"/>
      <c r="G315" s="24"/>
      <c r="H315" s="21" t="n">
        <f aca="false">IF(OR(E315="",D315&lt;&gt;"รายรับ"),0,E315)</f>
        <v>0</v>
      </c>
      <c r="I315" s="21" t="n">
        <f aca="false">IF(OR(E315="",D315&lt;&gt;"รายจ่าย"),0,E315)</f>
        <v>0</v>
      </c>
      <c r="J315" s="21" t="str">
        <f aca="false">IF(E315="","",ตั้งค่า!$B$4+SUM($H$5:H315)-SUM($I$5:I315))</f>
        <v/>
      </c>
      <c r="K315" s="22" t="str">
        <f aca="false">IF(A315="","",MONTH(A315))</f>
        <v/>
      </c>
      <c r="L315" s="22" t="str">
        <f aca="false">IF(A315="","",YEAR(A315))</f>
        <v/>
      </c>
    </row>
    <row r="316" customFormat="false" ht="15" hidden="false" customHeight="false" outlineLevel="0" collapsed="false">
      <c r="A316" s="23"/>
      <c r="B316" s="24"/>
      <c r="C316" s="24"/>
      <c r="D316" s="20" t="str">
        <f aca="false">IF(C316="","",IF(COUNTIF(ตั้งค่า!$A$7:$A$18,C316)&gt;0,"รายรับ",IF(COUNTIF(ตั้งค่า!$C$7:$C$31,C316)&gt;0,"รายจ่าย","ไม่พบหมวดหมู่")))</f>
        <v/>
      </c>
      <c r="E316" s="25"/>
      <c r="F316" s="24"/>
      <c r="G316" s="24"/>
      <c r="H316" s="21" t="n">
        <f aca="false">IF(OR(E316="",D316&lt;&gt;"รายรับ"),0,E316)</f>
        <v>0</v>
      </c>
      <c r="I316" s="21" t="n">
        <f aca="false">IF(OR(E316="",D316&lt;&gt;"รายจ่าย"),0,E316)</f>
        <v>0</v>
      </c>
      <c r="J316" s="21" t="str">
        <f aca="false">IF(E316="","",ตั้งค่า!$B$4+SUM($H$5:H316)-SUM($I$5:I316))</f>
        <v/>
      </c>
      <c r="K316" s="22" t="str">
        <f aca="false">IF(A316="","",MONTH(A316))</f>
        <v/>
      </c>
      <c r="L316" s="22" t="str">
        <f aca="false">IF(A316="","",YEAR(A316))</f>
        <v/>
      </c>
    </row>
    <row r="317" customFormat="false" ht="15" hidden="false" customHeight="false" outlineLevel="0" collapsed="false">
      <c r="A317" s="23"/>
      <c r="B317" s="24"/>
      <c r="C317" s="24"/>
      <c r="D317" s="20" t="str">
        <f aca="false">IF(C317="","",IF(COUNTIF(ตั้งค่า!$A$7:$A$18,C317)&gt;0,"รายรับ",IF(COUNTIF(ตั้งค่า!$C$7:$C$31,C317)&gt;0,"รายจ่าย","ไม่พบหมวดหมู่")))</f>
        <v/>
      </c>
      <c r="E317" s="25"/>
      <c r="F317" s="24"/>
      <c r="G317" s="24"/>
      <c r="H317" s="21" t="n">
        <f aca="false">IF(OR(E317="",D317&lt;&gt;"รายรับ"),0,E317)</f>
        <v>0</v>
      </c>
      <c r="I317" s="21" t="n">
        <f aca="false">IF(OR(E317="",D317&lt;&gt;"รายจ่าย"),0,E317)</f>
        <v>0</v>
      </c>
      <c r="J317" s="21" t="str">
        <f aca="false">IF(E317="","",ตั้งค่า!$B$4+SUM($H$5:H317)-SUM($I$5:I317))</f>
        <v/>
      </c>
      <c r="K317" s="22" t="str">
        <f aca="false">IF(A317="","",MONTH(A317))</f>
        <v/>
      </c>
      <c r="L317" s="22" t="str">
        <f aca="false">IF(A317="","",YEAR(A317))</f>
        <v/>
      </c>
    </row>
    <row r="318" customFormat="false" ht="15" hidden="false" customHeight="false" outlineLevel="0" collapsed="false">
      <c r="A318" s="23"/>
      <c r="B318" s="24"/>
      <c r="C318" s="24"/>
      <c r="D318" s="20" t="str">
        <f aca="false">IF(C318="","",IF(COUNTIF(ตั้งค่า!$A$7:$A$18,C318)&gt;0,"รายรับ",IF(COUNTIF(ตั้งค่า!$C$7:$C$31,C318)&gt;0,"รายจ่าย","ไม่พบหมวดหมู่")))</f>
        <v/>
      </c>
      <c r="E318" s="25"/>
      <c r="F318" s="24"/>
      <c r="G318" s="24"/>
      <c r="H318" s="21" t="n">
        <f aca="false">IF(OR(E318="",D318&lt;&gt;"รายรับ"),0,E318)</f>
        <v>0</v>
      </c>
      <c r="I318" s="21" t="n">
        <f aca="false">IF(OR(E318="",D318&lt;&gt;"รายจ่าย"),0,E318)</f>
        <v>0</v>
      </c>
      <c r="J318" s="21" t="str">
        <f aca="false">IF(E318="","",ตั้งค่า!$B$4+SUM($H$5:H318)-SUM($I$5:I318))</f>
        <v/>
      </c>
      <c r="K318" s="22" t="str">
        <f aca="false">IF(A318="","",MONTH(A318))</f>
        <v/>
      </c>
      <c r="L318" s="22" t="str">
        <f aca="false">IF(A318="","",YEAR(A318))</f>
        <v/>
      </c>
    </row>
    <row r="319" customFormat="false" ht="15" hidden="false" customHeight="false" outlineLevel="0" collapsed="false">
      <c r="A319" s="23"/>
      <c r="B319" s="24"/>
      <c r="C319" s="24"/>
      <c r="D319" s="20" t="str">
        <f aca="false">IF(C319="","",IF(COUNTIF(ตั้งค่า!$A$7:$A$18,C319)&gt;0,"รายรับ",IF(COUNTIF(ตั้งค่า!$C$7:$C$31,C319)&gt;0,"รายจ่าย","ไม่พบหมวดหมู่")))</f>
        <v/>
      </c>
      <c r="E319" s="25"/>
      <c r="F319" s="24"/>
      <c r="G319" s="24"/>
      <c r="H319" s="21" t="n">
        <f aca="false">IF(OR(E319="",D319&lt;&gt;"รายรับ"),0,E319)</f>
        <v>0</v>
      </c>
      <c r="I319" s="21" t="n">
        <f aca="false">IF(OR(E319="",D319&lt;&gt;"รายจ่าย"),0,E319)</f>
        <v>0</v>
      </c>
      <c r="J319" s="21" t="str">
        <f aca="false">IF(E319="","",ตั้งค่า!$B$4+SUM($H$5:H319)-SUM($I$5:I319))</f>
        <v/>
      </c>
      <c r="K319" s="22" t="str">
        <f aca="false">IF(A319="","",MONTH(A319))</f>
        <v/>
      </c>
      <c r="L319" s="22" t="str">
        <f aca="false">IF(A319="","",YEAR(A319))</f>
        <v/>
      </c>
    </row>
    <row r="320" customFormat="false" ht="15" hidden="false" customHeight="false" outlineLevel="0" collapsed="false">
      <c r="A320" s="23"/>
      <c r="B320" s="24"/>
      <c r="C320" s="24"/>
      <c r="D320" s="20" t="str">
        <f aca="false">IF(C320="","",IF(COUNTIF(ตั้งค่า!$A$7:$A$18,C320)&gt;0,"รายรับ",IF(COUNTIF(ตั้งค่า!$C$7:$C$31,C320)&gt;0,"รายจ่าย","ไม่พบหมวดหมู่")))</f>
        <v/>
      </c>
      <c r="E320" s="25"/>
      <c r="F320" s="24"/>
      <c r="G320" s="24"/>
      <c r="H320" s="21" t="n">
        <f aca="false">IF(OR(E320="",D320&lt;&gt;"รายรับ"),0,E320)</f>
        <v>0</v>
      </c>
      <c r="I320" s="21" t="n">
        <f aca="false">IF(OR(E320="",D320&lt;&gt;"รายจ่าย"),0,E320)</f>
        <v>0</v>
      </c>
      <c r="J320" s="21" t="str">
        <f aca="false">IF(E320="","",ตั้งค่า!$B$4+SUM($H$5:H320)-SUM($I$5:I320))</f>
        <v/>
      </c>
      <c r="K320" s="22" t="str">
        <f aca="false">IF(A320="","",MONTH(A320))</f>
        <v/>
      </c>
      <c r="L320" s="22" t="str">
        <f aca="false">IF(A320="","",YEAR(A320))</f>
        <v/>
      </c>
    </row>
    <row r="321" customFormat="false" ht="15" hidden="false" customHeight="false" outlineLevel="0" collapsed="false">
      <c r="A321" s="23"/>
      <c r="B321" s="24"/>
      <c r="C321" s="24"/>
      <c r="D321" s="20" t="str">
        <f aca="false">IF(C321="","",IF(COUNTIF(ตั้งค่า!$A$7:$A$18,C321)&gt;0,"รายรับ",IF(COUNTIF(ตั้งค่า!$C$7:$C$31,C321)&gt;0,"รายจ่าย","ไม่พบหมวดหมู่")))</f>
        <v/>
      </c>
      <c r="E321" s="25"/>
      <c r="F321" s="24"/>
      <c r="G321" s="24"/>
      <c r="H321" s="21" t="n">
        <f aca="false">IF(OR(E321="",D321&lt;&gt;"รายรับ"),0,E321)</f>
        <v>0</v>
      </c>
      <c r="I321" s="21" t="n">
        <f aca="false">IF(OR(E321="",D321&lt;&gt;"รายจ่าย"),0,E321)</f>
        <v>0</v>
      </c>
      <c r="J321" s="21" t="str">
        <f aca="false">IF(E321="","",ตั้งค่า!$B$4+SUM($H$5:H321)-SUM($I$5:I321))</f>
        <v/>
      </c>
      <c r="K321" s="22" t="str">
        <f aca="false">IF(A321="","",MONTH(A321))</f>
        <v/>
      </c>
      <c r="L321" s="22" t="str">
        <f aca="false">IF(A321="","",YEAR(A321))</f>
        <v/>
      </c>
    </row>
    <row r="322" customFormat="false" ht="15" hidden="false" customHeight="false" outlineLevel="0" collapsed="false">
      <c r="A322" s="23"/>
      <c r="B322" s="24"/>
      <c r="C322" s="24"/>
      <c r="D322" s="20" t="str">
        <f aca="false">IF(C322="","",IF(COUNTIF(ตั้งค่า!$A$7:$A$18,C322)&gt;0,"รายรับ",IF(COUNTIF(ตั้งค่า!$C$7:$C$31,C322)&gt;0,"รายจ่าย","ไม่พบหมวดหมู่")))</f>
        <v/>
      </c>
      <c r="E322" s="25"/>
      <c r="F322" s="24"/>
      <c r="G322" s="24"/>
      <c r="H322" s="21" t="n">
        <f aca="false">IF(OR(E322="",D322&lt;&gt;"รายรับ"),0,E322)</f>
        <v>0</v>
      </c>
      <c r="I322" s="21" t="n">
        <f aca="false">IF(OR(E322="",D322&lt;&gt;"รายจ่าย"),0,E322)</f>
        <v>0</v>
      </c>
      <c r="J322" s="21" t="str">
        <f aca="false">IF(E322="","",ตั้งค่า!$B$4+SUM($H$5:H322)-SUM($I$5:I322))</f>
        <v/>
      </c>
      <c r="K322" s="22" t="str">
        <f aca="false">IF(A322="","",MONTH(A322))</f>
        <v/>
      </c>
      <c r="L322" s="22" t="str">
        <f aca="false">IF(A322="","",YEAR(A322))</f>
        <v/>
      </c>
    </row>
    <row r="323" customFormat="false" ht="15" hidden="false" customHeight="false" outlineLevel="0" collapsed="false">
      <c r="A323" s="23"/>
      <c r="B323" s="24"/>
      <c r="C323" s="24"/>
      <c r="D323" s="20" t="str">
        <f aca="false">IF(C323="","",IF(COUNTIF(ตั้งค่า!$A$7:$A$18,C323)&gt;0,"รายรับ",IF(COUNTIF(ตั้งค่า!$C$7:$C$31,C323)&gt;0,"รายจ่าย","ไม่พบหมวดหมู่")))</f>
        <v/>
      </c>
      <c r="E323" s="25"/>
      <c r="F323" s="24"/>
      <c r="G323" s="24"/>
      <c r="H323" s="21" t="n">
        <f aca="false">IF(OR(E323="",D323&lt;&gt;"รายรับ"),0,E323)</f>
        <v>0</v>
      </c>
      <c r="I323" s="21" t="n">
        <f aca="false">IF(OR(E323="",D323&lt;&gt;"รายจ่าย"),0,E323)</f>
        <v>0</v>
      </c>
      <c r="J323" s="21" t="str">
        <f aca="false">IF(E323="","",ตั้งค่า!$B$4+SUM($H$5:H323)-SUM($I$5:I323))</f>
        <v/>
      </c>
      <c r="K323" s="22" t="str">
        <f aca="false">IF(A323="","",MONTH(A323))</f>
        <v/>
      </c>
      <c r="L323" s="22" t="str">
        <f aca="false">IF(A323="","",YEAR(A323))</f>
        <v/>
      </c>
    </row>
    <row r="324" customFormat="false" ht="15" hidden="false" customHeight="false" outlineLevel="0" collapsed="false">
      <c r="A324" s="23"/>
      <c r="B324" s="24"/>
      <c r="C324" s="24"/>
      <c r="D324" s="20" t="str">
        <f aca="false">IF(C324="","",IF(COUNTIF(ตั้งค่า!$A$7:$A$18,C324)&gt;0,"รายรับ",IF(COUNTIF(ตั้งค่า!$C$7:$C$31,C324)&gt;0,"รายจ่าย","ไม่พบหมวดหมู่")))</f>
        <v/>
      </c>
      <c r="E324" s="25"/>
      <c r="F324" s="24"/>
      <c r="G324" s="24"/>
      <c r="H324" s="21" t="n">
        <f aca="false">IF(OR(E324="",D324&lt;&gt;"รายรับ"),0,E324)</f>
        <v>0</v>
      </c>
      <c r="I324" s="21" t="n">
        <f aca="false">IF(OR(E324="",D324&lt;&gt;"รายจ่าย"),0,E324)</f>
        <v>0</v>
      </c>
      <c r="J324" s="21" t="str">
        <f aca="false">IF(E324="","",ตั้งค่า!$B$4+SUM($H$5:H324)-SUM($I$5:I324))</f>
        <v/>
      </c>
      <c r="K324" s="22" t="str">
        <f aca="false">IF(A324="","",MONTH(A324))</f>
        <v/>
      </c>
      <c r="L324" s="22" t="str">
        <f aca="false">IF(A324="","",YEAR(A324))</f>
        <v/>
      </c>
    </row>
    <row r="325" customFormat="false" ht="15" hidden="false" customHeight="false" outlineLevel="0" collapsed="false">
      <c r="A325" s="23"/>
      <c r="B325" s="24"/>
      <c r="C325" s="24"/>
      <c r="D325" s="20" t="str">
        <f aca="false">IF(C325="","",IF(COUNTIF(ตั้งค่า!$A$7:$A$18,C325)&gt;0,"รายรับ",IF(COUNTIF(ตั้งค่า!$C$7:$C$31,C325)&gt;0,"รายจ่าย","ไม่พบหมวดหมู่")))</f>
        <v/>
      </c>
      <c r="E325" s="25"/>
      <c r="F325" s="24"/>
      <c r="G325" s="24"/>
      <c r="H325" s="21" t="n">
        <f aca="false">IF(OR(E325="",D325&lt;&gt;"รายรับ"),0,E325)</f>
        <v>0</v>
      </c>
      <c r="I325" s="21" t="n">
        <f aca="false">IF(OR(E325="",D325&lt;&gt;"รายจ่าย"),0,E325)</f>
        <v>0</v>
      </c>
      <c r="J325" s="21" t="str">
        <f aca="false">IF(E325="","",ตั้งค่า!$B$4+SUM($H$5:H325)-SUM($I$5:I325))</f>
        <v/>
      </c>
      <c r="K325" s="22" t="str">
        <f aca="false">IF(A325="","",MONTH(A325))</f>
        <v/>
      </c>
      <c r="L325" s="22" t="str">
        <f aca="false">IF(A325="","",YEAR(A325))</f>
        <v/>
      </c>
    </row>
    <row r="326" customFormat="false" ht="15" hidden="false" customHeight="false" outlineLevel="0" collapsed="false">
      <c r="A326" s="23"/>
      <c r="B326" s="24"/>
      <c r="C326" s="24"/>
      <c r="D326" s="20" t="str">
        <f aca="false">IF(C326="","",IF(COUNTIF(ตั้งค่า!$A$7:$A$18,C326)&gt;0,"รายรับ",IF(COUNTIF(ตั้งค่า!$C$7:$C$31,C326)&gt;0,"รายจ่าย","ไม่พบหมวดหมู่")))</f>
        <v/>
      </c>
      <c r="E326" s="25"/>
      <c r="F326" s="24"/>
      <c r="G326" s="24"/>
      <c r="H326" s="21" t="n">
        <f aca="false">IF(OR(E326="",D326&lt;&gt;"รายรับ"),0,E326)</f>
        <v>0</v>
      </c>
      <c r="I326" s="21" t="n">
        <f aca="false">IF(OR(E326="",D326&lt;&gt;"รายจ่าย"),0,E326)</f>
        <v>0</v>
      </c>
      <c r="J326" s="21" t="str">
        <f aca="false">IF(E326="","",ตั้งค่า!$B$4+SUM($H$5:H326)-SUM($I$5:I326))</f>
        <v/>
      </c>
      <c r="K326" s="22" t="str">
        <f aca="false">IF(A326="","",MONTH(A326))</f>
        <v/>
      </c>
      <c r="L326" s="22" t="str">
        <f aca="false">IF(A326="","",YEAR(A326))</f>
        <v/>
      </c>
    </row>
    <row r="327" customFormat="false" ht="15" hidden="false" customHeight="false" outlineLevel="0" collapsed="false">
      <c r="A327" s="23"/>
      <c r="B327" s="24"/>
      <c r="C327" s="24"/>
      <c r="D327" s="20" t="str">
        <f aca="false">IF(C327="","",IF(COUNTIF(ตั้งค่า!$A$7:$A$18,C327)&gt;0,"รายรับ",IF(COUNTIF(ตั้งค่า!$C$7:$C$31,C327)&gt;0,"รายจ่าย","ไม่พบหมวดหมู่")))</f>
        <v/>
      </c>
      <c r="E327" s="25"/>
      <c r="F327" s="24"/>
      <c r="G327" s="24"/>
      <c r="H327" s="21" t="n">
        <f aca="false">IF(OR(E327="",D327&lt;&gt;"รายรับ"),0,E327)</f>
        <v>0</v>
      </c>
      <c r="I327" s="21" t="n">
        <f aca="false">IF(OR(E327="",D327&lt;&gt;"รายจ่าย"),0,E327)</f>
        <v>0</v>
      </c>
      <c r="J327" s="21" t="str">
        <f aca="false">IF(E327="","",ตั้งค่า!$B$4+SUM($H$5:H327)-SUM($I$5:I327))</f>
        <v/>
      </c>
      <c r="K327" s="22" t="str">
        <f aca="false">IF(A327="","",MONTH(A327))</f>
        <v/>
      </c>
      <c r="L327" s="22" t="str">
        <f aca="false">IF(A327="","",YEAR(A327))</f>
        <v/>
      </c>
    </row>
    <row r="328" customFormat="false" ht="15" hidden="false" customHeight="false" outlineLevel="0" collapsed="false">
      <c r="A328" s="23"/>
      <c r="B328" s="24"/>
      <c r="C328" s="24"/>
      <c r="D328" s="20" t="str">
        <f aca="false">IF(C328="","",IF(COUNTIF(ตั้งค่า!$A$7:$A$18,C328)&gt;0,"รายรับ",IF(COUNTIF(ตั้งค่า!$C$7:$C$31,C328)&gt;0,"รายจ่าย","ไม่พบหมวดหมู่")))</f>
        <v/>
      </c>
      <c r="E328" s="25"/>
      <c r="F328" s="24"/>
      <c r="G328" s="24"/>
      <c r="H328" s="21" t="n">
        <f aca="false">IF(OR(E328="",D328&lt;&gt;"รายรับ"),0,E328)</f>
        <v>0</v>
      </c>
      <c r="I328" s="21" t="n">
        <f aca="false">IF(OR(E328="",D328&lt;&gt;"รายจ่าย"),0,E328)</f>
        <v>0</v>
      </c>
      <c r="J328" s="21" t="str">
        <f aca="false">IF(E328="","",ตั้งค่า!$B$4+SUM($H$5:H328)-SUM($I$5:I328))</f>
        <v/>
      </c>
      <c r="K328" s="22" t="str">
        <f aca="false">IF(A328="","",MONTH(A328))</f>
        <v/>
      </c>
      <c r="L328" s="22" t="str">
        <f aca="false">IF(A328="","",YEAR(A328))</f>
        <v/>
      </c>
    </row>
    <row r="329" customFormat="false" ht="15" hidden="false" customHeight="false" outlineLevel="0" collapsed="false">
      <c r="A329" s="23"/>
      <c r="B329" s="24"/>
      <c r="C329" s="24"/>
      <c r="D329" s="20" t="str">
        <f aca="false">IF(C329="","",IF(COUNTIF(ตั้งค่า!$A$7:$A$18,C329)&gt;0,"รายรับ",IF(COUNTIF(ตั้งค่า!$C$7:$C$31,C329)&gt;0,"รายจ่าย","ไม่พบหมวดหมู่")))</f>
        <v/>
      </c>
      <c r="E329" s="25"/>
      <c r="F329" s="24"/>
      <c r="G329" s="24"/>
      <c r="H329" s="21" t="n">
        <f aca="false">IF(OR(E329="",D329&lt;&gt;"รายรับ"),0,E329)</f>
        <v>0</v>
      </c>
      <c r="I329" s="21" t="n">
        <f aca="false">IF(OR(E329="",D329&lt;&gt;"รายจ่าย"),0,E329)</f>
        <v>0</v>
      </c>
      <c r="J329" s="21" t="str">
        <f aca="false">IF(E329="","",ตั้งค่า!$B$4+SUM($H$5:H329)-SUM($I$5:I329))</f>
        <v/>
      </c>
      <c r="K329" s="22" t="str">
        <f aca="false">IF(A329="","",MONTH(A329))</f>
        <v/>
      </c>
      <c r="L329" s="22" t="str">
        <f aca="false">IF(A329="","",YEAR(A329))</f>
        <v/>
      </c>
    </row>
    <row r="330" customFormat="false" ht="15" hidden="false" customHeight="false" outlineLevel="0" collapsed="false">
      <c r="A330" s="23"/>
      <c r="B330" s="24"/>
      <c r="C330" s="24"/>
      <c r="D330" s="20" t="str">
        <f aca="false">IF(C330="","",IF(COUNTIF(ตั้งค่า!$A$7:$A$18,C330)&gt;0,"รายรับ",IF(COUNTIF(ตั้งค่า!$C$7:$C$31,C330)&gt;0,"รายจ่าย","ไม่พบหมวดหมู่")))</f>
        <v/>
      </c>
      <c r="E330" s="25"/>
      <c r="F330" s="24"/>
      <c r="G330" s="24"/>
      <c r="H330" s="21" t="n">
        <f aca="false">IF(OR(E330="",D330&lt;&gt;"รายรับ"),0,E330)</f>
        <v>0</v>
      </c>
      <c r="I330" s="21" t="n">
        <f aca="false">IF(OR(E330="",D330&lt;&gt;"รายจ่าย"),0,E330)</f>
        <v>0</v>
      </c>
      <c r="J330" s="21" t="str">
        <f aca="false">IF(E330="","",ตั้งค่า!$B$4+SUM($H$5:H330)-SUM($I$5:I330))</f>
        <v/>
      </c>
      <c r="K330" s="22" t="str">
        <f aca="false">IF(A330="","",MONTH(A330))</f>
        <v/>
      </c>
      <c r="L330" s="22" t="str">
        <f aca="false">IF(A330="","",YEAR(A330))</f>
        <v/>
      </c>
    </row>
    <row r="331" customFormat="false" ht="15" hidden="false" customHeight="false" outlineLevel="0" collapsed="false">
      <c r="A331" s="23"/>
      <c r="B331" s="24"/>
      <c r="C331" s="24"/>
      <c r="D331" s="20" t="str">
        <f aca="false">IF(C331="","",IF(COUNTIF(ตั้งค่า!$A$7:$A$18,C331)&gt;0,"รายรับ",IF(COUNTIF(ตั้งค่า!$C$7:$C$31,C331)&gt;0,"รายจ่าย","ไม่พบหมวดหมู่")))</f>
        <v/>
      </c>
      <c r="E331" s="25"/>
      <c r="F331" s="24"/>
      <c r="G331" s="24"/>
      <c r="H331" s="21" t="n">
        <f aca="false">IF(OR(E331="",D331&lt;&gt;"รายรับ"),0,E331)</f>
        <v>0</v>
      </c>
      <c r="I331" s="21" t="n">
        <f aca="false">IF(OR(E331="",D331&lt;&gt;"รายจ่าย"),0,E331)</f>
        <v>0</v>
      </c>
      <c r="J331" s="21" t="str">
        <f aca="false">IF(E331="","",ตั้งค่า!$B$4+SUM($H$5:H331)-SUM($I$5:I331))</f>
        <v/>
      </c>
      <c r="K331" s="22" t="str">
        <f aca="false">IF(A331="","",MONTH(A331))</f>
        <v/>
      </c>
      <c r="L331" s="22" t="str">
        <f aca="false">IF(A331="","",YEAR(A331))</f>
        <v/>
      </c>
    </row>
    <row r="332" customFormat="false" ht="15" hidden="false" customHeight="false" outlineLevel="0" collapsed="false">
      <c r="A332" s="23"/>
      <c r="B332" s="24"/>
      <c r="C332" s="24"/>
      <c r="D332" s="20" t="str">
        <f aca="false">IF(C332="","",IF(COUNTIF(ตั้งค่า!$A$7:$A$18,C332)&gt;0,"รายรับ",IF(COUNTIF(ตั้งค่า!$C$7:$C$31,C332)&gt;0,"รายจ่าย","ไม่พบหมวดหมู่")))</f>
        <v/>
      </c>
      <c r="E332" s="25"/>
      <c r="F332" s="24"/>
      <c r="G332" s="24"/>
      <c r="H332" s="21" t="n">
        <f aca="false">IF(OR(E332="",D332&lt;&gt;"รายรับ"),0,E332)</f>
        <v>0</v>
      </c>
      <c r="I332" s="21" t="n">
        <f aca="false">IF(OR(E332="",D332&lt;&gt;"รายจ่าย"),0,E332)</f>
        <v>0</v>
      </c>
      <c r="J332" s="21" t="str">
        <f aca="false">IF(E332="","",ตั้งค่า!$B$4+SUM($H$5:H332)-SUM($I$5:I332))</f>
        <v/>
      </c>
      <c r="K332" s="22" t="str">
        <f aca="false">IF(A332="","",MONTH(A332))</f>
        <v/>
      </c>
      <c r="L332" s="22" t="str">
        <f aca="false">IF(A332="","",YEAR(A332))</f>
        <v/>
      </c>
    </row>
    <row r="333" customFormat="false" ht="15" hidden="false" customHeight="false" outlineLevel="0" collapsed="false">
      <c r="A333" s="23"/>
      <c r="B333" s="24"/>
      <c r="C333" s="24"/>
      <c r="D333" s="20" t="str">
        <f aca="false">IF(C333="","",IF(COUNTIF(ตั้งค่า!$A$7:$A$18,C333)&gt;0,"รายรับ",IF(COUNTIF(ตั้งค่า!$C$7:$C$31,C333)&gt;0,"รายจ่าย","ไม่พบหมวดหมู่")))</f>
        <v/>
      </c>
      <c r="E333" s="25"/>
      <c r="F333" s="24"/>
      <c r="G333" s="24"/>
      <c r="H333" s="21" t="n">
        <f aca="false">IF(OR(E333="",D333&lt;&gt;"รายรับ"),0,E333)</f>
        <v>0</v>
      </c>
      <c r="I333" s="21" t="n">
        <f aca="false">IF(OR(E333="",D333&lt;&gt;"รายจ่าย"),0,E333)</f>
        <v>0</v>
      </c>
      <c r="J333" s="21" t="str">
        <f aca="false">IF(E333="","",ตั้งค่า!$B$4+SUM($H$5:H333)-SUM($I$5:I333))</f>
        <v/>
      </c>
      <c r="K333" s="22" t="str">
        <f aca="false">IF(A333="","",MONTH(A333))</f>
        <v/>
      </c>
      <c r="L333" s="22" t="str">
        <f aca="false">IF(A333="","",YEAR(A333))</f>
        <v/>
      </c>
    </row>
    <row r="334" customFormat="false" ht="15" hidden="false" customHeight="false" outlineLevel="0" collapsed="false">
      <c r="A334" s="23"/>
      <c r="B334" s="24"/>
      <c r="C334" s="24"/>
      <c r="D334" s="20" t="str">
        <f aca="false">IF(C334="","",IF(COUNTIF(ตั้งค่า!$A$7:$A$18,C334)&gt;0,"รายรับ",IF(COUNTIF(ตั้งค่า!$C$7:$C$31,C334)&gt;0,"รายจ่าย","ไม่พบหมวดหมู่")))</f>
        <v/>
      </c>
      <c r="E334" s="25"/>
      <c r="F334" s="24"/>
      <c r="G334" s="24"/>
      <c r="H334" s="21" t="n">
        <f aca="false">IF(OR(E334="",D334&lt;&gt;"รายรับ"),0,E334)</f>
        <v>0</v>
      </c>
      <c r="I334" s="21" t="n">
        <f aca="false">IF(OR(E334="",D334&lt;&gt;"รายจ่าย"),0,E334)</f>
        <v>0</v>
      </c>
      <c r="J334" s="21" t="str">
        <f aca="false">IF(E334="","",ตั้งค่า!$B$4+SUM($H$5:H334)-SUM($I$5:I334))</f>
        <v/>
      </c>
      <c r="K334" s="22" t="str">
        <f aca="false">IF(A334="","",MONTH(A334))</f>
        <v/>
      </c>
      <c r="L334" s="22" t="str">
        <f aca="false">IF(A334="","",YEAR(A334))</f>
        <v/>
      </c>
    </row>
    <row r="335" customFormat="false" ht="15" hidden="false" customHeight="false" outlineLevel="0" collapsed="false">
      <c r="A335" s="23"/>
      <c r="B335" s="24"/>
      <c r="C335" s="24"/>
      <c r="D335" s="20" t="str">
        <f aca="false">IF(C335="","",IF(COUNTIF(ตั้งค่า!$A$7:$A$18,C335)&gt;0,"รายรับ",IF(COUNTIF(ตั้งค่า!$C$7:$C$31,C335)&gt;0,"รายจ่าย","ไม่พบหมวดหมู่")))</f>
        <v/>
      </c>
      <c r="E335" s="25"/>
      <c r="F335" s="24"/>
      <c r="G335" s="24"/>
      <c r="H335" s="21" t="n">
        <f aca="false">IF(OR(E335="",D335&lt;&gt;"รายรับ"),0,E335)</f>
        <v>0</v>
      </c>
      <c r="I335" s="21" t="n">
        <f aca="false">IF(OR(E335="",D335&lt;&gt;"รายจ่าย"),0,E335)</f>
        <v>0</v>
      </c>
      <c r="J335" s="21" t="str">
        <f aca="false">IF(E335="","",ตั้งค่า!$B$4+SUM($H$5:H335)-SUM($I$5:I335))</f>
        <v/>
      </c>
      <c r="K335" s="22" t="str">
        <f aca="false">IF(A335="","",MONTH(A335))</f>
        <v/>
      </c>
      <c r="L335" s="22" t="str">
        <f aca="false">IF(A335="","",YEAR(A335))</f>
        <v/>
      </c>
    </row>
    <row r="336" customFormat="false" ht="15" hidden="false" customHeight="false" outlineLevel="0" collapsed="false">
      <c r="A336" s="23"/>
      <c r="B336" s="24"/>
      <c r="C336" s="24"/>
      <c r="D336" s="20" t="str">
        <f aca="false">IF(C336="","",IF(COUNTIF(ตั้งค่า!$A$7:$A$18,C336)&gt;0,"รายรับ",IF(COUNTIF(ตั้งค่า!$C$7:$C$31,C336)&gt;0,"รายจ่าย","ไม่พบหมวดหมู่")))</f>
        <v/>
      </c>
      <c r="E336" s="25"/>
      <c r="F336" s="24"/>
      <c r="G336" s="24"/>
      <c r="H336" s="21" t="n">
        <f aca="false">IF(OR(E336="",D336&lt;&gt;"รายรับ"),0,E336)</f>
        <v>0</v>
      </c>
      <c r="I336" s="21" t="n">
        <f aca="false">IF(OR(E336="",D336&lt;&gt;"รายจ่าย"),0,E336)</f>
        <v>0</v>
      </c>
      <c r="J336" s="21" t="str">
        <f aca="false">IF(E336="","",ตั้งค่า!$B$4+SUM($H$5:H336)-SUM($I$5:I336))</f>
        <v/>
      </c>
      <c r="K336" s="22" t="str">
        <f aca="false">IF(A336="","",MONTH(A336))</f>
        <v/>
      </c>
      <c r="L336" s="22" t="str">
        <f aca="false">IF(A336="","",YEAR(A336))</f>
        <v/>
      </c>
    </row>
    <row r="337" customFormat="false" ht="15" hidden="false" customHeight="false" outlineLevel="0" collapsed="false">
      <c r="A337" s="23"/>
      <c r="B337" s="24"/>
      <c r="C337" s="24"/>
      <c r="D337" s="20" t="str">
        <f aca="false">IF(C337="","",IF(COUNTIF(ตั้งค่า!$A$7:$A$18,C337)&gt;0,"รายรับ",IF(COUNTIF(ตั้งค่า!$C$7:$C$31,C337)&gt;0,"รายจ่าย","ไม่พบหมวดหมู่")))</f>
        <v/>
      </c>
      <c r="E337" s="25"/>
      <c r="F337" s="24"/>
      <c r="G337" s="24"/>
      <c r="H337" s="21" t="n">
        <f aca="false">IF(OR(E337="",D337&lt;&gt;"รายรับ"),0,E337)</f>
        <v>0</v>
      </c>
      <c r="I337" s="21" t="n">
        <f aca="false">IF(OR(E337="",D337&lt;&gt;"รายจ่าย"),0,E337)</f>
        <v>0</v>
      </c>
      <c r="J337" s="21" t="str">
        <f aca="false">IF(E337="","",ตั้งค่า!$B$4+SUM($H$5:H337)-SUM($I$5:I337))</f>
        <v/>
      </c>
      <c r="K337" s="22" t="str">
        <f aca="false">IF(A337="","",MONTH(A337))</f>
        <v/>
      </c>
      <c r="L337" s="22" t="str">
        <f aca="false">IF(A337="","",YEAR(A337))</f>
        <v/>
      </c>
    </row>
    <row r="338" customFormat="false" ht="15" hidden="false" customHeight="false" outlineLevel="0" collapsed="false">
      <c r="A338" s="23"/>
      <c r="B338" s="24"/>
      <c r="C338" s="24"/>
      <c r="D338" s="20" t="str">
        <f aca="false">IF(C338="","",IF(COUNTIF(ตั้งค่า!$A$7:$A$18,C338)&gt;0,"รายรับ",IF(COUNTIF(ตั้งค่า!$C$7:$C$31,C338)&gt;0,"รายจ่าย","ไม่พบหมวดหมู่")))</f>
        <v/>
      </c>
      <c r="E338" s="25"/>
      <c r="F338" s="24"/>
      <c r="G338" s="24"/>
      <c r="H338" s="21" t="n">
        <f aca="false">IF(OR(E338="",D338&lt;&gt;"รายรับ"),0,E338)</f>
        <v>0</v>
      </c>
      <c r="I338" s="21" t="n">
        <f aca="false">IF(OR(E338="",D338&lt;&gt;"รายจ่าย"),0,E338)</f>
        <v>0</v>
      </c>
      <c r="J338" s="21" t="str">
        <f aca="false">IF(E338="","",ตั้งค่า!$B$4+SUM($H$5:H338)-SUM($I$5:I338))</f>
        <v/>
      </c>
      <c r="K338" s="22" t="str">
        <f aca="false">IF(A338="","",MONTH(A338))</f>
        <v/>
      </c>
      <c r="L338" s="22" t="str">
        <f aca="false">IF(A338="","",YEAR(A338))</f>
        <v/>
      </c>
    </row>
    <row r="339" customFormat="false" ht="15" hidden="false" customHeight="false" outlineLevel="0" collapsed="false">
      <c r="A339" s="23"/>
      <c r="B339" s="24"/>
      <c r="C339" s="24"/>
      <c r="D339" s="20" t="str">
        <f aca="false">IF(C339="","",IF(COUNTIF(ตั้งค่า!$A$7:$A$18,C339)&gt;0,"รายรับ",IF(COUNTIF(ตั้งค่า!$C$7:$C$31,C339)&gt;0,"รายจ่าย","ไม่พบหมวดหมู่")))</f>
        <v/>
      </c>
      <c r="E339" s="25"/>
      <c r="F339" s="24"/>
      <c r="G339" s="24"/>
      <c r="H339" s="21" t="n">
        <f aca="false">IF(OR(E339="",D339&lt;&gt;"รายรับ"),0,E339)</f>
        <v>0</v>
      </c>
      <c r="I339" s="21" t="n">
        <f aca="false">IF(OR(E339="",D339&lt;&gt;"รายจ่าย"),0,E339)</f>
        <v>0</v>
      </c>
      <c r="J339" s="21" t="str">
        <f aca="false">IF(E339="","",ตั้งค่า!$B$4+SUM($H$5:H339)-SUM($I$5:I339))</f>
        <v/>
      </c>
      <c r="K339" s="22" t="str">
        <f aca="false">IF(A339="","",MONTH(A339))</f>
        <v/>
      </c>
      <c r="L339" s="22" t="str">
        <f aca="false">IF(A339="","",YEAR(A339))</f>
        <v/>
      </c>
    </row>
    <row r="340" customFormat="false" ht="15" hidden="false" customHeight="false" outlineLevel="0" collapsed="false">
      <c r="A340" s="23"/>
      <c r="B340" s="24"/>
      <c r="C340" s="24"/>
      <c r="D340" s="20" t="str">
        <f aca="false">IF(C340="","",IF(COUNTIF(ตั้งค่า!$A$7:$A$18,C340)&gt;0,"รายรับ",IF(COUNTIF(ตั้งค่า!$C$7:$C$31,C340)&gt;0,"รายจ่าย","ไม่พบหมวดหมู่")))</f>
        <v/>
      </c>
      <c r="E340" s="25"/>
      <c r="F340" s="24"/>
      <c r="G340" s="24"/>
      <c r="H340" s="21" t="n">
        <f aca="false">IF(OR(E340="",D340&lt;&gt;"รายรับ"),0,E340)</f>
        <v>0</v>
      </c>
      <c r="I340" s="21" t="n">
        <f aca="false">IF(OR(E340="",D340&lt;&gt;"รายจ่าย"),0,E340)</f>
        <v>0</v>
      </c>
      <c r="J340" s="21" t="str">
        <f aca="false">IF(E340="","",ตั้งค่า!$B$4+SUM($H$5:H340)-SUM($I$5:I340))</f>
        <v/>
      </c>
      <c r="K340" s="22" t="str">
        <f aca="false">IF(A340="","",MONTH(A340))</f>
        <v/>
      </c>
      <c r="L340" s="22" t="str">
        <f aca="false">IF(A340="","",YEAR(A340))</f>
        <v/>
      </c>
    </row>
    <row r="341" customFormat="false" ht="15" hidden="false" customHeight="false" outlineLevel="0" collapsed="false">
      <c r="A341" s="23"/>
      <c r="B341" s="24"/>
      <c r="C341" s="24"/>
      <c r="D341" s="20" t="str">
        <f aca="false">IF(C341="","",IF(COUNTIF(ตั้งค่า!$A$7:$A$18,C341)&gt;0,"รายรับ",IF(COUNTIF(ตั้งค่า!$C$7:$C$31,C341)&gt;0,"รายจ่าย","ไม่พบหมวดหมู่")))</f>
        <v/>
      </c>
      <c r="E341" s="25"/>
      <c r="F341" s="24"/>
      <c r="G341" s="24"/>
      <c r="H341" s="21" t="n">
        <f aca="false">IF(OR(E341="",D341&lt;&gt;"รายรับ"),0,E341)</f>
        <v>0</v>
      </c>
      <c r="I341" s="21" t="n">
        <f aca="false">IF(OR(E341="",D341&lt;&gt;"รายจ่าย"),0,E341)</f>
        <v>0</v>
      </c>
      <c r="J341" s="21" t="str">
        <f aca="false">IF(E341="","",ตั้งค่า!$B$4+SUM($H$5:H341)-SUM($I$5:I341))</f>
        <v/>
      </c>
      <c r="K341" s="22" t="str">
        <f aca="false">IF(A341="","",MONTH(A341))</f>
        <v/>
      </c>
      <c r="L341" s="22" t="str">
        <f aca="false">IF(A341="","",YEAR(A341))</f>
        <v/>
      </c>
    </row>
    <row r="342" customFormat="false" ht="15" hidden="false" customHeight="false" outlineLevel="0" collapsed="false">
      <c r="A342" s="23"/>
      <c r="B342" s="24"/>
      <c r="C342" s="24"/>
      <c r="D342" s="20" t="str">
        <f aca="false">IF(C342="","",IF(COUNTIF(ตั้งค่า!$A$7:$A$18,C342)&gt;0,"รายรับ",IF(COUNTIF(ตั้งค่า!$C$7:$C$31,C342)&gt;0,"รายจ่าย","ไม่พบหมวดหมู่")))</f>
        <v/>
      </c>
      <c r="E342" s="25"/>
      <c r="F342" s="24"/>
      <c r="G342" s="24"/>
      <c r="H342" s="21" t="n">
        <f aca="false">IF(OR(E342="",D342&lt;&gt;"รายรับ"),0,E342)</f>
        <v>0</v>
      </c>
      <c r="I342" s="21" t="n">
        <f aca="false">IF(OR(E342="",D342&lt;&gt;"รายจ่าย"),0,E342)</f>
        <v>0</v>
      </c>
      <c r="J342" s="21" t="str">
        <f aca="false">IF(E342="","",ตั้งค่า!$B$4+SUM($H$5:H342)-SUM($I$5:I342))</f>
        <v/>
      </c>
      <c r="K342" s="22" t="str">
        <f aca="false">IF(A342="","",MONTH(A342))</f>
        <v/>
      </c>
      <c r="L342" s="22" t="str">
        <f aca="false">IF(A342="","",YEAR(A342))</f>
        <v/>
      </c>
    </row>
    <row r="343" customFormat="false" ht="15" hidden="false" customHeight="false" outlineLevel="0" collapsed="false">
      <c r="A343" s="23"/>
      <c r="B343" s="24"/>
      <c r="C343" s="24"/>
      <c r="D343" s="20" t="str">
        <f aca="false">IF(C343="","",IF(COUNTIF(ตั้งค่า!$A$7:$A$18,C343)&gt;0,"รายรับ",IF(COUNTIF(ตั้งค่า!$C$7:$C$31,C343)&gt;0,"รายจ่าย","ไม่พบหมวดหมู่")))</f>
        <v/>
      </c>
      <c r="E343" s="25"/>
      <c r="F343" s="24"/>
      <c r="G343" s="24"/>
      <c r="H343" s="21" t="n">
        <f aca="false">IF(OR(E343="",D343&lt;&gt;"รายรับ"),0,E343)</f>
        <v>0</v>
      </c>
      <c r="I343" s="21" t="n">
        <f aca="false">IF(OR(E343="",D343&lt;&gt;"รายจ่าย"),0,E343)</f>
        <v>0</v>
      </c>
      <c r="J343" s="21" t="str">
        <f aca="false">IF(E343="","",ตั้งค่า!$B$4+SUM($H$5:H343)-SUM($I$5:I343))</f>
        <v/>
      </c>
      <c r="K343" s="22" t="str">
        <f aca="false">IF(A343="","",MONTH(A343))</f>
        <v/>
      </c>
      <c r="L343" s="22" t="str">
        <f aca="false">IF(A343="","",YEAR(A343))</f>
        <v/>
      </c>
    </row>
    <row r="344" customFormat="false" ht="15" hidden="false" customHeight="false" outlineLevel="0" collapsed="false">
      <c r="A344" s="23"/>
      <c r="B344" s="24"/>
      <c r="C344" s="24"/>
      <c r="D344" s="20" t="str">
        <f aca="false">IF(C344="","",IF(COUNTIF(ตั้งค่า!$A$7:$A$18,C344)&gt;0,"รายรับ",IF(COUNTIF(ตั้งค่า!$C$7:$C$31,C344)&gt;0,"รายจ่าย","ไม่พบหมวดหมู่")))</f>
        <v/>
      </c>
      <c r="E344" s="25"/>
      <c r="F344" s="24"/>
      <c r="G344" s="24"/>
      <c r="H344" s="21" t="n">
        <f aca="false">IF(OR(E344="",D344&lt;&gt;"รายรับ"),0,E344)</f>
        <v>0</v>
      </c>
      <c r="I344" s="21" t="n">
        <f aca="false">IF(OR(E344="",D344&lt;&gt;"รายจ่าย"),0,E344)</f>
        <v>0</v>
      </c>
      <c r="J344" s="21" t="str">
        <f aca="false">IF(E344="","",ตั้งค่า!$B$4+SUM($H$5:H344)-SUM($I$5:I344))</f>
        <v/>
      </c>
      <c r="K344" s="22" t="str">
        <f aca="false">IF(A344="","",MONTH(A344))</f>
        <v/>
      </c>
      <c r="L344" s="22" t="str">
        <f aca="false">IF(A344="","",YEAR(A344))</f>
        <v/>
      </c>
    </row>
    <row r="345" customFormat="false" ht="15" hidden="false" customHeight="false" outlineLevel="0" collapsed="false">
      <c r="A345" s="23"/>
      <c r="B345" s="24"/>
      <c r="C345" s="24"/>
      <c r="D345" s="20" t="str">
        <f aca="false">IF(C345="","",IF(COUNTIF(ตั้งค่า!$A$7:$A$18,C345)&gt;0,"รายรับ",IF(COUNTIF(ตั้งค่า!$C$7:$C$31,C345)&gt;0,"รายจ่าย","ไม่พบหมวดหมู่")))</f>
        <v/>
      </c>
      <c r="E345" s="25"/>
      <c r="F345" s="24"/>
      <c r="G345" s="24"/>
      <c r="H345" s="21" t="n">
        <f aca="false">IF(OR(E345="",D345&lt;&gt;"รายรับ"),0,E345)</f>
        <v>0</v>
      </c>
      <c r="I345" s="21" t="n">
        <f aca="false">IF(OR(E345="",D345&lt;&gt;"รายจ่าย"),0,E345)</f>
        <v>0</v>
      </c>
      <c r="J345" s="21" t="str">
        <f aca="false">IF(E345="","",ตั้งค่า!$B$4+SUM($H$5:H345)-SUM($I$5:I345))</f>
        <v/>
      </c>
      <c r="K345" s="22" t="str">
        <f aca="false">IF(A345="","",MONTH(A345))</f>
        <v/>
      </c>
      <c r="L345" s="22" t="str">
        <f aca="false">IF(A345="","",YEAR(A345))</f>
        <v/>
      </c>
    </row>
    <row r="346" customFormat="false" ht="15" hidden="false" customHeight="false" outlineLevel="0" collapsed="false">
      <c r="A346" s="23"/>
      <c r="B346" s="24"/>
      <c r="C346" s="24"/>
      <c r="D346" s="20" t="str">
        <f aca="false">IF(C346="","",IF(COUNTIF(ตั้งค่า!$A$7:$A$18,C346)&gt;0,"รายรับ",IF(COUNTIF(ตั้งค่า!$C$7:$C$31,C346)&gt;0,"รายจ่าย","ไม่พบหมวดหมู่")))</f>
        <v/>
      </c>
      <c r="E346" s="25"/>
      <c r="F346" s="24"/>
      <c r="G346" s="24"/>
      <c r="H346" s="21" t="n">
        <f aca="false">IF(OR(E346="",D346&lt;&gt;"รายรับ"),0,E346)</f>
        <v>0</v>
      </c>
      <c r="I346" s="21" t="n">
        <f aca="false">IF(OR(E346="",D346&lt;&gt;"รายจ่าย"),0,E346)</f>
        <v>0</v>
      </c>
      <c r="J346" s="21" t="str">
        <f aca="false">IF(E346="","",ตั้งค่า!$B$4+SUM($H$5:H346)-SUM($I$5:I346))</f>
        <v/>
      </c>
      <c r="K346" s="22" t="str">
        <f aca="false">IF(A346="","",MONTH(A346))</f>
        <v/>
      </c>
      <c r="L346" s="22" t="str">
        <f aca="false">IF(A346="","",YEAR(A346))</f>
        <v/>
      </c>
    </row>
    <row r="347" customFormat="false" ht="15" hidden="false" customHeight="false" outlineLevel="0" collapsed="false">
      <c r="A347" s="23"/>
      <c r="B347" s="24"/>
      <c r="C347" s="24"/>
      <c r="D347" s="20" t="str">
        <f aca="false">IF(C347="","",IF(COUNTIF(ตั้งค่า!$A$7:$A$18,C347)&gt;0,"รายรับ",IF(COUNTIF(ตั้งค่า!$C$7:$C$31,C347)&gt;0,"รายจ่าย","ไม่พบหมวดหมู่")))</f>
        <v/>
      </c>
      <c r="E347" s="25"/>
      <c r="F347" s="24"/>
      <c r="G347" s="24"/>
      <c r="H347" s="21" t="n">
        <f aca="false">IF(OR(E347="",D347&lt;&gt;"รายรับ"),0,E347)</f>
        <v>0</v>
      </c>
      <c r="I347" s="21" t="n">
        <f aca="false">IF(OR(E347="",D347&lt;&gt;"รายจ่าย"),0,E347)</f>
        <v>0</v>
      </c>
      <c r="J347" s="21" t="str">
        <f aca="false">IF(E347="","",ตั้งค่า!$B$4+SUM($H$5:H347)-SUM($I$5:I347))</f>
        <v/>
      </c>
      <c r="K347" s="22" t="str">
        <f aca="false">IF(A347="","",MONTH(A347))</f>
        <v/>
      </c>
      <c r="L347" s="22" t="str">
        <f aca="false">IF(A347="","",YEAR(A347))</f>
        <v/>
      </c>
    </row>
    <row r="348" customFormat="false" ht="15" hidden="false" customHeight="false" outlineLevel="0" collapsed="false">
      <c r="A348" s="23"/>
      <c r="B348" s="24"/>
      <c r="C348" s="24"/>
      <c r="D348" s="20" t="str">
        <f aca="false">IF(C348="","",IF(COUNTIF(ตั้งค่า!$A$7:$A$18,C348)&gt;0,"รายรับ",IF(COUNTIF(ตั้งค่า!$C$7:$C$31,C348)&gt;0,"รายจ่าย","ไม่พบหมวดหมู่")))</f>
        <v/>
      </c>
      <c r="E348" s="25"/>
      <c r="F348" s="24"/>
      <c r="G348" s="24"/>
      <c r="H348" s="21" t="n">
        <f aca="false">IF(OR(E348="",D348&lt;&gt;"รายรับ"),0,E348)</f>
        <v>0</v>
      </c>
      <c r="I348" s="21" t="n">
        <f aca="false">IF(OR(E348="",D348&lt;&gt;"รายจ่าย"),0,E348)</f>
        <v>0</v>
      </c>
      <c r="J348" s="21" t="str">
        <f aca="false">IF(E348="","",ตั้งค่า!$B$4+SUM($H$5:H348)-SUM($I$5:I348))</f>
        <v/>
      </c>
      <c r="K348" s="22" t="str">
        <f aca="false">IF(A348="","",MONTH(A348))</f>
        <v/>
      </c>
      <c r="L348" s="22" t="str">
        <f aca="false">IF(A348="","",YEAR(A348))</f>
        <v/>
      </c>
    </row>
    <row r="349" customFormat="false" ht="15" hidden="false" customHeight="false" outlineLevel="0" collapsed="false">
      <c r="A349" s="23"/>
      <c r="B349" s="24"/>
      <c r="C349" s="24"/>
      <c r="D349" s="20" t="str">
        <f aca="false">IF(C349="","",IF(COUNTIF(ตั้งค่า!$A$7:$A$18,C349)&gt;0,"รายรับ",IF(COUNTIF(ตั้งค่า!$C$7:$C$31,C349)&gt;0,"รายจ่าย","ไม่พบหมวดหมู่")))</f>
        <v/>
      </c>
      <c r="E349" s="25"/>
      <c r="F349" s="24"/>
      <c r="G349" s="24"/>
      <c r="H349" s="21" t="n">
        <f aca="false">IF(OR(E349="",D349&lt;&gt;"รายรับ"),0,E349)</f>
        <v>0</v>
      </c>
      <c r="I349" s="21" t="n">
        <f aca="false">IF(OR(E349="",D349&lt;&gt;"รายจ่าย"),0,E349)</f>
        <v>0</v>
      </c>
      <c r="J349" s="21" t="str">
        <f aca="false">IF(E349="","",ตั้งค่า!$B$4+SUM($H$5:H349)-SUM($I$5:I349))</f>
        <v/>
      </c>
      <c r="K349" s="22" t="str">
        <f aca="false">IF(A349="","",MONTH(A349))</f>
        <v/>
      </c>
      <c r="L349" s="22" t="str">
        <f aca="false">IF(A349="","",YEAR(A349))</f>
        <v/>
      </c>
    </row>
    <row r="350" customFormat="false" ht="15" hidden="false" customHeight="false" outlineLevel="0" collapsed="false">
      <c r="A350" s="23"/>
      <c r="B350" s="24"/>
      <c r="C350" s="24"/>
      <c r="D350" s="20" t="str">
        <f aca="false">IF(C350="","",IF(COUNTIF(ตั้งค่า!$A$7:$A$18,C350)&gt;0,"รายรับ",IF(COUNTIF(ตั้งค่า!$C$7:$C$31,C350)&gt;0,"รายจ่าย","ไม่พบหมวดหมู่")))</f>
        <v/>
      </c>
      <c r="E350" s="25"/>
      <c r="F350" s="24"/>
      <c r="G350" s="24"/>
      <c r="H350" s="21" t="n">
        <f aca="false">IF(OR(E350="",D350&lt;&gt;"รายรับ"),0,E350)</f>
        <v>0</v>
      </c>
      <c r="I350" s="21" t="n">
        <f aca="false">IF(OR(E350="",D350&lt;&gt;"รายจ่าย"),0,E350)</f>
        <v>0</v>
      </c>
      <c r="J350" s="21" t="str">
        <f aca="false">IF(E350="","",ตั้งค่า!$B$4+SUM($H$5:H350)-SUM($I$5:I350))</f>
        <v/>
      </c>
      <c r="K350" s="22" t="str">
        <f aca="false">IF(A350="","",MONTH(A350))</f>
        <v/>
      </c>
      <c r="L350" s="22" t="str">
        <f aca="false">IF(A350="","",YEAR(A350))</f>
        <v/>
      </c>
    </row>
    <row r="351" customFormat="false" ht="15" hidden="false" customHeight="false" outlineLevel="0" collapsed="false">
      <c r="A351" s="23"/>
      <c r="B351" s="24"/>
      <c r="C351" s="24"/>
      <c r="D351" s="20" t="str">
        <f aca="false">IF(C351="","",IF(COUNTIF(ตั้งค่า!$A$7:$A$18,C351)&gt;0,"รายรับ",IF(COUNTIF(ตั้งค่า!$C$7:$C$31,C351)&gt;0,"รายจ่าย","ไม่พบหมวดหมู่")))</f>
        <v/>
      </c>
      <c r="E351" s="25"/>
      <c r="F351" s="24"/>
      <c r="G351" s="24"/>
      <c r="H351" s="21" t="n">
        <f aca="false">IF(OR(E351="",D351&lt;&gt;"รายรับ"),0,E351)</f>
        <v>0</v>
      </c>
      <c r="I351" s="21" t="n">
        <f aca="false">IF(OR(E351="",D351&lt;&gt;"รายจ่าย"),0,E351)</f>
        <v>0</v>
      </c>
      <c r="J351" s="21" t="str">
        <f aca="false">IF(E351="","",ตั้งค่า!$B$4+SUM($H$5:H351)-SUM($I$5:I351))</f>
        <v/>
      </c>
      <c r="K351" s="22" t="str">
        <f aca="false">IF(A351="","",MONTH(A351))</f>
        <v/>
      </c>
      <c r="L351" s="22" t="str">
        <f aca="false">IF(A351="","",YEAR(A351))</f>
        <v/>
      </c>
    </row>
    <row r="352" customFormat="false" ht="15" hidden="false" customHeight="false" outlineLevel="0" collapsed="false">
      <c r="A352" s="23"/>
      <c r="B352" s="24"/>
      <c r="C352" s="24"/>
      <c r="D352" s="20" t="str">
        <f aca="false">IF(C352="","",IF(COUNTIF(ตั้งค่า!$A$7:$A$18,C352)&gt;0,"รายรับ",IF(COUNTIF(ตั้งค่า!$C$7:$C$31,C352)&gt;0,"รายจ่าย","ไม่พบหมวดหมู่")))</f>
        <v/>
      </c>
      <c r="E352" s="25"/>
      <c r="F352" s="24"/>
      <c r="G352" s="24"/>
      <c r="H352" s="21" t="n">
        <f aca="false">IF(OR(E352="",D352&lt;&gt;"รายรับ"),0,E352)</f>
        <v>0</v>
      </c>
      <c r="I352" s="21" t="n">
        <f aca="false">IF(OR(E352="",D352&lt;&gt;"รายจ่าย"),0,E352)</f>
        <v>0</v>
      </c>
      <c r="J352" s="21" t="str">
        <f aca="false">IF(E352="","",ตั้งค่า!$B$4+SUM($H$5:H352)-SUM($I$5:I352))</f>
        <v/>
      </c>
      <c r="K352" s="22" t="str">
        <f aca="false">IF(A352="","",MONTH(A352))</f>
        <v/>
      </c>
      <c r="L352" s="22" t="str">
        <f aca="false">IF(A352="","",YEAR(A352))</f>
        <v/>
      </c>
    </row>
    <row r="353" customFormat="false" ht="15" hidden="false" customHeight="false" outlineLevel="0" collapsed="false">
      <c r="A353" s="23"/>
      <c r="B353" s="24"/>
      <c r="C353" s="24"/>
      <c r="D353" s="20" t="str">
        <f aca="false">IF(C353="","",IF(COUNTIF(ตั้งค่า!$A$7:$A$18,C353)&gt;0,"รายรับ",IF(COUNTIF(ตั้งค่า!$C$7:$C$31,C353)&gt;0,"รายจ่าย","ไม่พบหมวดหมู่")))</f>
        <v/>
      </c>
      <c r="E353" s="25"/>
      <c r="F353" s="24"/>
      <c r="G353" s="24"/>
      <c r="H353" s="21" t="n">
        <f aca="false">IF(OR(E353="",D353&lt;&gt;"รายรับ"),0,E353)</f>
        <v>0</v>
      </c>
      <c r="I353" s="21" t="n">
        <f aca="false">IF(OR(E353="",D353&lt;&gt;"รายจ่าย"),0,E353)</f>
        <v>0</v>
      </c>
      <c r="J353" s="21" t="str">
        <f aca="false">IF(E353="","",ตั้งค่า!$B$4+SUM($H$5:H353)-SUM($I$5:I353))</f>
        <v/>
      </c>
      <c r="K353" s="22" t="str">
        <f aca="false">IF(A353="","",MONTH(A353))</f>
        <v/>
      </c>
      <c r="L353" s="22" t="str">
        <f aca="false">IF(A353="","",YEAR(A353))</f>
        <v/>
      </c>
    </row>
    <row r="354" customFormat="false" ht="15" hidden="false" customHeight="false" outlineLevel="0" collapsed="false">
      <c r="A354" s="23"/>
      <c r="B354" s="24"/>
      <c r="C354" s="24"/>
      <c r="D354" s="20" t="str">
        <f aca="false">IF(C354="","",IF(COUNTIF(ตั้งค่า!$A$7:$A$18,C354)&gt;0,"รายรับ",IF(COUNTIF(ตั้งค่า!$C$7:$C$31,C354)&gt;0,"รายจ่าย","ไม่พบหมวดหมู่")))</f>
        <v/>
      </c>
      <c r="E354" s="25"/>
      <c r="F354" s="24"/>
      <c r="G354" s="24"/>
      <c r="H354" s="21" t="n">
        <f aca="false">IF(OR(E354="",D354&lt;&gt;"รายรับ"),0,E354)</f>
        <v>0</v>
      </c>
      <c r="I354" s="21" t="n">
        <f aca="false">IF(OR(E354="",D354&lt;&gt;"รายจ่าย"),0,E354)</f>
        <v>0</v>
      </c>
      <c r="J354" s="21" t="str">
        <f aca="false">IF(E354="","",ตั้งค่า!$B$4+SUM($H$5:H354)-SUM($I$5:I354))</f>
        <v/>
      </c>
      <c r="K354" s="22" t="str">
        <f aca="false">IF(A354="","",MONTH(A354))</f>
        <v/>
      </c>
      <c r="L354" s="22" t="str">
        <f aca="false">IF(A354="","",YEAR(A354))</f>
        <v/>
      </c>
    </row>
    <row r="355" customFormat="false" ht="15" hidden="false" customHeight="false" outlineLevel="0" collapsed="false">
      <c r="A355" s="23"/>
      <c r="B355" s="24"/>
      <c r="C355" s="24"/>
      <c r="D355" s="20" t="str">
        <f aca="false">IF(C355="","",IF(COUNTIF(ตั้งค่า!$A$7:$A$18,C355)&gt;0,"รายรับ",IF(COUNTIF(ตั้งค่า!$C$7:$C$31,C355)&gt;0,"รายจ่าย","ไม่พบหมวดหมู่")))</f>
        <v/>
      </c>
      <c r="E355" s="25"/>
      <c r="F355" s="24"/>
      <c r="G355" s="24"/>
      <c r="H355" s="21" t="n">
        <f aca="false">IF(OR(E355="",D355&lt;&gt;"รายรับ"),0,E355)</f>
        <v>0</v>
      </c>
      <c r="I355" s="21" t="n">
        <f aca="false">IF(OR(E355="",D355&lt;&gt;"รายจ่าย"),0,E355)</f>
        <v>0</v>
      </c>
      <c r="J355" s="21" t="str">
        <f aca="false">IF(E355="","",ตั้งค่า!$B$4+SUM($H$5:H355)-SUM($I$5:I355))</f>
        <v/>
      </c>
      <c r="K355" s="22" t="str">
        <f aca="false">IF(A355="","",MONTH(A355))</f>
        <v/>
      </c>
      <c r="L355" s="22" t="str">
        <f aca="false">IF(A355="","",YEAR(A355))</f>
        <v/>
      </c>
    </row>
    <row r="356" customFormat="false" ht="15" hidden="false" customHeight="false" outlineLevel="0" collapsed="false">
      <c r="A356" s="23"/>
      <c r="B356" s="24"/>
      <c r="C356" s="24"/>
      <c r="D356" s="20" t="str">
        <f aca="false">IF(C356="","",IF(COUNTIF(ตั้งค่า!$A$7:$A$18,C356)&gt;0,"รายรับ",IF(COUNTIF(ตั้งค่า!$C$7:$C$31,C356)&gt;0,"รายจ่าย","ไม่พบหมวดหมู่")))</f>
        <v/>
      </c>
      <c r="E356" s="25"/>
      <c r="F356" s="24"/>
      <c r="G356" s="24"/>
      <c r="H356" s="21" t="n">
        <f aca="false">IF(OR(E356="",D356&lt;&gt;"รายรับ"),0,E356)</f>
        <v>0</v>
      </c>
      <c r="I356" s="21" t="n">
        <f aca="false">IF(OR(E356="",D356&lt;&gt;"รายจ่าย"),0,E356)</f>
        <v>0</v>
      </c>
      <c r="J356" s="21" t="str">
        <f aca="false">IF(E356="","",ตั้งค่า!$B$4+SUM($H$5:H356)-SUM($I$5:I356))</f>
        <v/>
      </c>
      <c r="K356" s="22" t="str">
        <f aca="false">IF(A356="","",MONTH(A356))</f>
        <v/>
      </c>
      <c r="L356" s="22" t="str">
        <f aca="false">IF(A356="","",YEAR(A356))</f>
        <v/>
      </c>
    </row>
    <row r="357" customFormat="false" ht="15" hidden="false" customHeight="false" outlineLevel="0" collapsed="false">
      <c r="A357" s="23"/>
      <c r="B357" s="24"/>
      <c r="C357" s="24"/>
      <c r="D357" s="20" t="str">
        <f aca="false">IF(C357="","",IF(COUNTIF(ตั้งค่า!$A$7:$A$18,C357)&gt;0,"รายรับ",IF(COUNTIF(ตั้งค่า!$C$7:$C$31,C357)&gt;0,"รายจ่าย","ไม่พบหมวดหมู่")))</f>
        <v/>
      </c>
      <c r="E357" s="25"/>
      <c r="F357" s="24"/>
      <c r="G357" s="24"/>
      <c r="H357" s="21" t="n">
        <f aca="false">IF(OR(E357="",D357&lt;&gt;"รายรับ"),0,E357)</f>
        <v>0</v>
      </c>
      <c r="I357" s="21" t="n">
        <f aca="false">IF(OR(E357="",D357&lt;&gt;"รายจ่าย"),0,E357)</f>
        <v>0</v>
      </c>
      <c r="J357" s="21" t="str">
        <f aca="false">IF(E357="","",ตั้งค่า!$B$4+SUM($H$5:H357)-SUM($I$5:I357))</f>
        <v/>
      </c>
      <c r="K357" s="22" t="str">
        <f aca="false">IF(A357="","",MONTH(A357))</f>
        <v/>
      </c>
      <c r="L357" s="22" t="str">
        <f aca="false">IF(A357="","",YEAR(A357))</f>
        <v/>
      </c>
    </row>
    <row r="358" customFormat="false" ht="15" hidden="false" customHeight="false" outlineLevel="0" collapsed="false">
      <c r="A358" s="23"/>
      <c r="B358" s="24"/>
      <c r="C358" s="24"/>
      <c r="D358" s="20" t="str">
        <f aca="false">IF(C358="","",IF(COUNTIF(ตั้งค่า!$A$7:$A$18,C358)&gt;0,"รายรับ",IF(COUNTIF(ตั้งค่า!$C$7:$C$31,C358)&gt;0,"รายจ่าย","ไม่พบหมวดหมู่")))</f>
        <v/>
      </c>
      <c r="E358" s="25"/>
      <c r="F358" s="24"/>
      <c r="G358" s="24"/>
      <c r="H358" s="21" t="n">
        <f aca="false">IF(OR(E358="",D358&lt;&gt;"รายรับ"),0,E358)</f>
        <v>0</v>
      </c>
      <c r="I358" s="21" t="n">
        <f aca="false">IF(OR(E358="",D358&lt;&gt;"รายจ่าย"),0,E358)</f>
        <v>0</v>
      </c>
      <c r="J358" s="21" t="str">
        <f aca="false">IF(E358="","",ตั้งค่า!$B$4+SUM($H$5:H358)-SUM($I$5:I358))</f>
        <v/>
      </c>
      <c r="K358" s="22" t="str">
        <f aca="false">IF(A358="","",MONTH(A358))</f>
        <v/>
      </c>
      <c r="L358" s="22" t="str">
        <f aca="false">IF(A358="","",YEAR(A358))</f>
        <v/>
      </c>
    </row>
    <row r="359" customFormat="false" ht="15" hidden="false" customHeight="false" outlineLevel="0" collapsed="false">
      <c r="A359" s="23"/>
      <c r="B359" s="24"/>
      <c r="C359" s="24"/>
      <c r="D359" s="20" t="str">
        <f aca="false">IF(C359="","",IF(COUNTIF(ตั้งค่า!$A$7:$A$18,C359)&gt;0,"รายรับ",IF(COUNTIF(ตั้งค่า!$C$7:$C$31,C359)&gt;0,"รายจ่าย","ไม่พบหมวดหมู่")))</f>
        <v/>
      </c>
      <c r="E359" s="25"/>
      <c r="F359" s="24"/>
      <c r="G359" s="24"/>
      <c r="H359" s="21" t="n">
        <f aca="false">IF(OR(E359="",D359&lt;&gt;"รายรับ"),0,E359)</f>
        <v>0</v>
      </c>
      <c r="I359" s="21" t="n">
        <f aca="false">IF(OR(E359="",D359&lt;&gt;"รายจ่าย"),0,E359)</f>
        <v>0</v>
      </c>
      <c r="J359" s="21" t="str">
        <f aca="false">IF(E359="","",ตั้งค่า!$B$4+SUM($H$5:H359)-SUM($I$5:I359))</f>
        <v/>
      </c>
      <c r="K359" s="22" t="str">
        <f aca="false">IF(A359="","",MONTH(A359))</f>
        <v/>
      </c>
      <c r="L359" s="22" t="str">
        <f aca="false">IF(A359="","",YEAR(A359))</f>
        <v/>
      </c>
    </row>
    <row r="360" customFormat="false" ht="15" hidden="false" customHeight="false" outlineLevel="0" collapsed="false">
      <c r="A360" s="23"/>
      <c r="B360" s="24"/>
      <c r="C360" s="24"/>
      <c r="D360" s="20" t="str">
        <f aca="false">IF(C360="","",IF(COUNTIF(ตั้งค่า!$A$7:$A$18,C360)&gt;0,"รายรับ",IF(COUNTIF(ตั้งค่า!$C$7:$C$31,C360)&gt;0,"รายจ่าย","ไม่พบหมวดหมู่")))</f>
        <v/>
      </c>
      <c r="E360" s="25"/>
      <c r="F360" s="24"/>
      <c r="G360" s="24"/>
      <c r="H360" s="21" t="n">
        <f aca="false">IF(OR(E360="",D360&lt;&gt;"รายรับ"),0,E360)</f>
        <v>0</v>
      </c>
      <c r="I360" s="21" t="n">
        <f aca="false">IF(OR(E360="",D360&lt;&gt;"รายจ่าย"),0,E360)</f>
        <v>0</v>
      </c>
      <c r="J360" s="21" t="str">
        <f aca="false">IF(E360="","",ตั้งค่า!$B$4+SUM($H$5:H360)-SUM($I$5:I360))</f>
        <v/>
      </c>
      <c r="K360" s="22" t="str">
        <f aca="false">IF(A360="","",MONTH(A360))</f>
        <v/>
      </c>
      <c r="L360" s="22" t="str">
        <f aca="false">IF(A360="","",YEAR(A360))</f>
        <v/>
      </c>
    </row>
    <row r="361" customFormat="false" ht="15" hidden="false" customHeight="false" outlineLevel="0" collapsed="false">
      <c r="A361" s="23"/>
      <c r="B361" s="24"/>
      <c r="C361" s="24"/>
      <c r="D361" s="20" t="str">
        <f aca="false">IF(C361="","",IF(COUNTIF(ตั้งค่า!$A$7:$A$18,C361)&gt;0,"รายรับ",IF(COUNTIF(ตั้งค่า!$C$7:$C$31,C361)&gt;0,"รายจ่าย","ไม่พบหมวดหมู่")))</f>
        <v/>
      </c>
      <c r="E361" s="25"/>
      <c r="F361" s="24"/>
      <c r="G361" s="24"/>
      <c r="H361" s="21" t="n">
        <f aca="false">IF(OR(E361="",D361&lt;&gt;"รายรับ"),0,E361)</f>
        <v>0</v>
      </c>
      <c r="I361" s="21" t="n">
        <f aca="false">IF(OR(E361="",D361&lt;&gt;"รายจ่าย"),0,E361)</f>
        <v>0</v>
      </c>
      <c r="J361" s="21" t="str">
        <f aca="false">IF(E361="","",ตั้งค่า!$B$4+SUM($H$5:H361)-SUM($I$5:I361))</f>
        <v/>
      </c>
      <c r="K361" s="22" t="str">
        <f aca="false">IF(A361="","",MONTH(A361))</f>
        <v/>
      </c>
      <c r="L361" s="22" t="str">
        <f aca="false">IF(A361="","",YEAR(A361))</f>
        <v/>
      </c>
    </row>
    <row r="362" customFormat="false" ht="15" hidden="false" customHeight="false" outlineLevel="0" collapsed="false">
      <c r="A362" s="23"/>
      <c r="B362" s="24"/>
      <c r="C362" s="24"/>
      <c r="D362" s="20" t="str">
        <f aca="false">IF(C362="","",IF(COUNTIF(ตั้งค่า!$A$7:$A$18,C362)&gt;0,"รายรับ",IF(COUNTIF(ตั้งค่า!$C$7:$C$31,C362)&gt;0,"รายจ่าย","ไม่พบหมวดหมู่")))</f>
        <v/>
      </c>
      <c r="E362" s="25"/>
      <c r="F362" s="24"/>
      <c r="G362" s="24"/>
      <c r="H362" s="21" t="n">
        <f aca="false">IF(OR(E362="",D362&lt;&gt;"รายรับ"),0,E362)</f>
        <v>0</v>
      </c>
      <c r="I362" s="21" t="n">
        <f aca="false">IF(OR(E362="",D362&lt;&gt;"รายจ่าย"),0,E362)</f>
        <v>0</v>
      </c>
      <c r="J362" s="21" t="str">
        <f aca="false">IF(E362="","",ตั้งค่า!$B$4+SUM($H$5:H362)-SUM($I$5:I362))</f>
        <v/>
      </c>
      <c r="K362" s="22" t="str">
        <f aca="false">IF(A362="","",MONTH(A362))</f>
        <v/>
      </c>
      <c r="L362" s="22" t="str">
        <f aca="false">IF(A362="","",YEAR(A362))</f>
        <v/>
      </c>
    </row>
    <row r="363" customFormat="false" ht="15" hidden="false" customHeight="false" outlineLevel="0" collapsed="false">
      <c r="A363" s="23"/>
      <c r="B363" s="24"/>
      <c r="C363" s="24"/>
      <c r="D363" s="20" t="str">
        <f aca="false">IF(C363="","",IF(COUNTIF(ตั้งค่า!$A$7:$A$18,C363)&gt;0,"รายรับ",IF(COUNTIF(ตั้งค่า!$C$7:$C$31,C363)&gt;0,"รายจ่าย","ไม่พบหมวดหมู่")))</f>
        <v/>
      </c>
      <c r="E363" s="25"/>
      <c r="F363" s="24"/>
      <c r="G363" s="24"/>
      <c r="H363" s="21" t="n">
        <f aca="false">IF(OR(E363="",D363&lt;&gt;"รายรับ"),0,E363)</f>
        <v>0</v>
      </c>
      <c r="I363" s="21" t="n">
        <f aca="false">IF(OR(E363="",D363&lt;&gt;"รายจ่าย"),0,E363)</f>
        <v>0</v>
      </c>
      <c r="J363" s="21" t="str">
        <f aca="false">IF(E363="","",ตั้งค่า!$B$4+SUM($H$5:H363)-SUM($I$5:I363))</f>
        <v/>
      </c>
      <c r="K363" s="22" t="str">
        <f aca="false">IF(A363="","",MONTH(A363))</f>
        <v/>
      </c>
      <c r="L363" s="22" t="str">
        <f aca="false">IF(A363="","",YEAR(A363))</f>
        <v/>
      </c>
    </row>
    <row r="364" customFormat="false" ht="15" hidden="false" customHeight="false" outlineLevel="0" collapsed="false">
      <c r="A364" s="23"/>
      <c r="B364" s="24"/>
      <c r="C364" s="24"/>
      <c r="D364" s="20" t="str">
        <f aca="false">IF(C364="","",IF(COUNTIF(ตั้งค่า!$A$7:$A$18,C364)&gt;0,"รายรับ",IF(COUNTIF(ตั้งค่า!$C$7:$C$31,C364)&gt;0,"รายจ่าย","ไม่พบหมวดหมู่")))</f>
        <v/>
      </c>
      <c r="E364" s="25"/>
      <c r="F364" s="24"/>
      <c r="G364" s="24"/>
      <c r="H364" s="21" t="n">
        <f aca="false">IF(OR(E364="",D364&lt;&gt;"รายรับ"),0,E364)</f>
        <v>0</v>
      </c>
      <c r="I364" s="21" t="n">
        <f aca="false">IF(OR(E364="",D364&lt;&gt;"รายจ่าย"),0,E364)</f>
        <v>0</v>
      </c>
      <c r="J364" s="21" t="str">
        <f aca="false">IF(E364="","",ตั้งค่า!$B$4+SUM($H$5:H364)-SUM($I$5:I364))</f>
        <v/>
      </c>
      <c r="K364" s="22" t="str">
        <f aca="false">IF(A364="","",MONTH(A364))</f>
        <v/>
      </c>
      <c r="L364" s="22" t="str">
        <f aca="false">IF(A364="","",YEAR(A364))</f>
        <v/>
      </c>
    </row>
    <row r="365" customFormat="false" ht="15" hidden="false" customHeight="false" outlineLevel="0" collapsed="false">
      <c r="A365" s="23"/>
      <c r="B365" s="24"/>
      <c r="C365" s="24"/>
      <c r="D365" s="20" t="str">
        <f aca="false">IF(C365="","",IF(COUNTIF(ตั้งค่า!$A$7:$A$18,C365)&gt;0,"รายรับ",IF(COUNTIF(ตั้งค่า!$C$7:$C$31,C365)&gt;0,"รายจ่าย","ไม่พบหมวดหมู่")))</f>
        <v/>
      </c>
      <c r="E365" s="25"/>
      <c r="F365" s="24"/>
      <c r="G365" s="24"/>
      <c r="H365" s="21" t="n">
        <f aca="false">IF(OR(E365="",D365&lt;&gt;"รายรับ"),0,E365)</f>
        <v>0</v>
      </c>
      <c r="I365" s="21" t="n">
        <f aca="false">IF(OR(E365="",D365&lt;&gt;"รายจ่าย"),0,E365)</f>
        <v>0</v>
      </c>
      <c r="J365" s="21" t="str">
        <f aca="false">IF(E365="","",ตั้งค่า!$B$4+SUM($H$5:H365)-SUM($I$5:I365))</f>
        <v/>
      </c>
      <c r="K365" s="22" t="str">
        <f aca="false">IF(A365="","",MONTH(A365))</f>
        <v/>
      </c>
      <c r="L365" s="22" t="str">
        <f aca="false">IF(A365="","",YEAR(A365))</f>
        <v/>
      </c>
    </row>
    <row r="366" customFormat="false" ht="15" hidden="false" customHeight="false" outlineLevel="0" collapsed="false">
      <c r="A366" s="23"/>
      <c r="B366" s="24"/>
      <c r="C366" s="24"/>
      <c r="D366" s="20" t="str">
        <f aca="false">IF(C366="","",IF(COUNTIF(ตั้งค่า!$A$7:$A$18,C366)&gt;0,"รายรับ",IF(COUNTIF(ตั้งค่า!$C$7:$C$31,C366)&gt;0,"รายจ่าย","ไม่พบหมวดหมู่")))</f>
        <v/>
      </c>
      <c r="E366" s="25"/>
      <c r="F366" s="24"/>
      <c r="G366" s="24"/>
      <c r="H366" s="21" t="n">
        <f aca="false">IF(OR(E366="",D366&lt;&gt;"รายรับ"),0,E366)</f>
        <v>0</v>
      </c>
      <c r="I366" s="21" t="n">
        <f aca="false">IF(OR(E366="",D366&lt;&gt;"รายจ่าย"),0,E366)</f>
        <v>0</v>
      </c>
      <c r="J366" s="21" t="str">
        <f aca="false">IF(E366="","",ตั้งค่า!$B$4+SUM($H$5:H366)-SUM($I$5:I366))</f>
        <v/>
      </c>
      <c r="K366" s="22" t="str">
        <f aca="false">IF(A366="","",MONTH(A366))</f>
        <v/>
      </c>
      <c r="L366" s="22" t="str">
        <f aca="false">IF(A366="","",YEAR(A366))</f>
        <v/>
      </c>
    </row>
    <row r="367" customFormat="false" ht="15" hidden="false" customHeight="false" outlineLevel="0" collapsed="false">
      <c r="A367" s="23"/>
      <c r="B367" s="24"/>
      <c r="C367" s="24"/>
      <c r="D367" s="20" t="str">
        <f aca="false">IF(C367="","",IF(COUNTIF(ตั้งค่า!$A$7:$A$18,C367)&gt;0,"รายรับ",IF(COUNTIF(ตั้งค่า!$C$7:$C$31,C367)&gt;0,"รายจ่าย","ไม่พบหมวดหมู่")))</f>
        <v/>
      </c>
      <c r="E367" s="25"/>
      <c r="F367" s="24"/>
      <c r="G367" s="24"/>
      <c r="H367" s="21" t="n">
        <f aca="false">IF(OR(E367="",D367&lt;&gt;"รายรับ"),0,E367)</f>
        <v>0</v>
      </c>
      <c r="I367" s="21" t="n">
        <f aca="false">IF(OR(E367="",D367&lt;&gt;"รายจ่าย"),0,E367)</f>
        <v>0</v>
      </c>
      <c r="J367" s="21" t="str">
        <f aca="false">IF(E367="","",ตั้งค่า!$B$4+SUM($H$5:H367)-SUM($I$5:I367))</f>
        <v/>
      </c>
      <c r="K367" s="22" t="str">
        <f aca="false">IF(A367="","",MONTH(A367))</f>
        <v/>
      </c>
      <c r="L367" s="22" t="str">
        <f aca="false">IF(A367="","",YEAR(A367))</f>
        <v/>
      </c>
    </row>
    <row r="368" customFormat="false" ht="15" hidden="false" customHeight="false" outlineLevel="0" collapsed="false">
      <c r="A368" s="23"/>
      <c r="B368" s="24"/>
      <c r="C368" s="24"/>
      <c r="D368" s="20" t="str">
        <f aca="false">IF(C368="","",IF(COUNTIF(ตั้งค่า!$A$7:$A$18,C368)&gt;0,"รายรับ",IF(COUNTIF(ตั้งค่า!$C$7:$C$31,C368)&gt;0,"รายจ่าย","ไม่พบหมวดหมู่")))</f>
        <v/>
      </c>
      <c r="E368" s="25"/>
      <c r="F368" s="24"/>
      <c r="G368" s="24"/>
      <c r="H368" s="21" t="n">
        <f aca="false">IF(OR(E368="",D368&lt;&gt;"รายรับ"),0,E368)</f>
        <v>0</v>
      </c>
      <c r="I368" s="21" t="n">
        <f aca="false">IF(OR(E368="",D368&lt;&gt;"รายจ่าย"),0,E368)</f>
        <v>0</v>
      </c>
      <c r="J368" s="21" t="str">
        <f aca="false">IF(E368="","",ตั้งค่า!$B$4+SUM($H$5:H368)-SUM($I$5:I368))</f>
        <v/>
      </c>
      <c r="K368" s="22" t="str">
        <f aca="false">IF(A368="","",MONTH(A368))</f>
        <v/>
      </c>
      <c r="L368" s="22" t="str">
        <f aca="false">IF(A368="","",YEAR(A368))</f>
        <v/>
      </c>
    </row>
    <row r="369" customFormat="false" ht="15" hidden="false" customHeight="false" outlineLevel="0" collapsed="false">
      <c r="A369" s="23"/>
      <c r="B369" s="24"/>
      <c r="C369" s="24"/>
      <c r="D369" s="20" t="str">
        <f aca="false">IF(C369="","",IF(COUNTIF(ตั้งค่า!$A$7:$A$18,C369)&gt;0,"รายรับ",IF(COUNTIF(ตั้งค่า!$C$7:$C$31,C369)&gt;0,"รายจ่าย","ไม่พบหมวดหมู่")))</f>
        <v/>
      </c>
      <c r="E369" s="25"/>
      <c r="F369" s="24"/>
      <c r="G369" s="24"/>
      <c r="H369" s="21" t="n">
        <f aca="false">IF(OR(E369="",D369&lt;&gt;"รายรับ"),0,E369)</f>
        <v>0</v>
      </c>
      <c r="I369" s="21" t="n">
        <f aca="false">IF(OR(E369="",D369&lt;&gt;"รายจ่าย"),0,E369)</f>
        <v>0</v>
      </c>
      <c r="J369" s="21" t="str">
        <f aca="false">IF(E369="","",ตั้งค่า!$B$4+SUM($H$5:H369)-SUM($I$5:I369))</f>
        <v/>
      </c>
      <c r="K369" s="22" t="str">
        <f aca="false">IF(A369="","",MONTH(A369))</f>
        <v/>
      </c>
      <c r="L369" s="22" t="str">
        <f aca="false">IF(A369="","",YEAR(A369))</f>
        <v/>
      </c>
    </row>
    <row r="370" customFormat="false" ht="15" hidden="false" customHeight="false" outlineLevel="0" collapsed="false">
      <c r="A370" s="23"/>
      <c r="B370" s="24"/>
      <c r="C370" s="24"/>
      <c r="D370" s="20" t="str">
        <f aca="false">IF(C370="","",IF(COUNTIF(ตั้งค่า!$A$7:$A$18,C370)&gt;0,"รายรับ",IF(COUNTIF(ตั้งค่า!$C$7:$C$31,C370)&gt;0,"รายจ่าย","ไม่พบหมวดหมู่")))</f>
        <v/>
      </c>
      <c r="E370" s="25"/>
      <c r="F370" s="24"/>
      <c r="G370" s="24"/>
      <c r="H370" s="21" t="n">
        <f aca="false">IF(OR(E370="",D370&lt;&gt;"รายรับ"),0,E370)</f>
        <v>0</v>
      </c>
      <c r="I370" s="21" t="n">
        <f aca="false">IF(OR(E370="",D370&lt;&gt;"รายจ่าย"),0,E370)</f>
        <v>0</v>
      </c>
      <c r="J370" s="21" t="str">
        <f aca="false">IF(E370="","",ตั้งค่า!$B$4+SUM($H$5:H370)-SUM($I$5:I370))</f>
        <v/>
      </c>
      <c r="K370" s="22" t="str">
        <f aca="false">IF(A370="","",MONTH(A370))</f>
        <v/>
      </c>
      <c r="L370" s="22" t="str">
        <f aca="false">IF(A370="","",YEAR(A370))</f>
        <v/>
      </c>
    </row>
    <row r="371" customFormat="false" ht="15" hidden="false" customHeight="false" outlineLevel="0" collapsed="false">
      <c r="A371" s="23"/>
      <c r="B371" s="24"/>
      <c r="C371" s="24"/>
      <c r="D371" s="20" t="str">
        <f aca="false">IF(C371="","",IF(COUNTIF(ตั้งค่า!$A$7:$A$18,C371)&gt;0,"รายรับ",IF(COUNTIF(ตั้งค่า!$C$7:$C$31,C371)&gt;0,"รายจ่าย","ไม่พบหมวดหมู่")))</f>
        <v/>
      </c>
      <c r="E371" s="25"/>
      <c r="F371" s="24"/>
      <c r="G371" s="24"/>
      <c r="H371" s="21" t="n">
        <f aca="false">IF(OR(E371="",D371&lt;&gt;"รายรับ"),0,E371)</f>
        <v>0</v>
      </c>
      <c r="I371" s="21" t="n">
        <f aca="false">IF(OR(E371="",D371&lt;&gt;"รายจ่าย"),0,E371)</f>
        <v>0</v>
      </c>
      <c r="J371" s="21" t="str">
        <f aca="false">IF(E371="","",ตั้งค่า!$B$4+SUM($H$5:H371)-SUM($I$5:I371))</f>
        <v/>
      </c>
      <c r="K371" s="22" t="str">
        <f aca="false">IF(A371="","",MONTH(A371))</f>
        <v/>
      </c>
      <c r="L371" s="22" t="str">
        <f aca="false">IF(A371="","",YEAR(A371))</f>
        <v/>
      </c>
    </row>
    <row r="372" customFormat="false" ht="15" hidden="false" customHeight="false" outlineLevel="0" collapsed="false">
      <c r="A372" s="23"/>
      <c r="B372" s="24"/>
      <c r="C372" s="24"/>
      <c r="D372" s="20" t="str">
        <f aca="false">IF(C372="","",IF(COUNTIF(ตั้งค่า!$A$7:$A$18,C372)&gt;0,"รายรับ",IF(COUNTIF(ตั้งค่า!$C$7:$C$31,C372)&gt;0,"รายจ่าย","ไม่พบหมวดหมู่")))</f>
        <v/>
      </c>
      <c r="E372" s="25"/>
      <c r="F372" s="24"/>
      <c r="G372" s="24"/>
      <c r="H372" s="21" t="n">
        <f aca="false">IF(OR(E372="",D372&lt;&gt;"รายรับ"),0,E372)</f>
        <v>0</v>
      </c>
      <c r="I372" s="21" t="n">
        <f aca="false">IF(OR(E372="",D372&lt;&gt;"รายจ่าย"),0,E372)</f>
        <v>0</v>
      </c>
      <c r="J372" s="21" t="str">
        <f aca="false">IF(E372="","",ตั้งค่า!$B$4+SUM($H$5:H372)-SUM($I$5:I372))</f>
        <v/>
      </c>
      <c r="K372" s="22" t="str">
        <f aca="false">IF(A372="","",MONTH(A372))</f>
        <v/>
      </c>
      <c r="L372" s="22" t="str">
        <f aca="false">IF(A372="","",YEAR(A372))</f>
        <v/>
      </c>
    </row>
    <row r="373" customFormat="false" ht="15" hidden="false" customHeight="false" outlineLevel="0" collapsed="false">
      <c r="A373" s="23"/>
      <c r="B373" s="24"/>
      <c r="C373" s="24"/>
      <c r="D373" s="20" t="str">
        <f aca="false">IF(C373="","",IF(COUNTIF(ตั้งค่า!$A$7:$A$18,C373)&gt;0,"รายรับ",IF(COUNTIF(ตั้งค่า!$C$7:$C$31,C373)&gt;0,"รายจ่าย","ไม่พบหมวดหมู่")))</f>
        <v/>
      </c>
      <c r="E373" s="25"/>
      <c r="F373" s="24"/>
      <c r="G373" s="24"/>
      <c r="H373" s="21" t="n">
        <f aca="false">IF(OR(E373="",D373&lt;&gt;"รายรับ"),0,E373)</f>
        <v>0</v>
      </c>
      <c r="I373" s="21" t="n">
        <f aca="false">IF(OR(E373="",D373&lt;&gt;"รายจ่าย"),0,E373)</f>
        <v>0</v>
      </c>
      <c r="J373" s="21" t="str">
        <f aca="false">IF(E373="","",ตั้งค่า!$B$4+SUM($H$5:H373)-SUM($I$5:I373))</f>
        <v/>
      </c>
      <c r="K373" s="22" t="str">
        <f aca="false">IF(A373="","",MONTH(A373))</f>
        <v/>
      </c>
      <c r="L373" s="22" t="str">
        <f aca="false">IF(A373="","",YEAR(A373))</f>
        <v/>
      </c>
    </row>
    <row r="374" customFormat="false" ht="15" hidden="false" customHeight="false" outlineLevel="0" collapsed="false">
      <c r="A374" s="23"/>
      <c r="B374" s="24"/>
      <c r="C374" s="24"/>
      <c r="D374" s="20" t="str">
        <f aca="false">IF(C374="","",IF(COUNTIF(ตั้งค่า!$A$7:$A$18,C374)&gt;0,"รายรับ",IF(COUNTIF(ตั้งค่า!$C$7:$C$31,C374)&gt;0,"รายจ่าย","ไม่พบหมวดหมู่")))</f>
        <v/>
      </c>
      <c r="E374" s="25"/>
      <c r="F374" s="24"/>
      <c r="G374" s="24"/>
      <c r="H374" s="21" t="n">
        <f aca="false">IF(OR(E374="",D374&lt;&gt;"รายรับ"),0,E374)</f>
        <v>0</v>
      </c>
      <c r="I374" s="21" t="n">
        <f aca="false">IF(OR(E374="",D374&lt;&gt;"รายจ่าย"),0,E374)</f>
        <v>0</v>
      </c>
      <c r="J374" s="21" t="str">
        <f aca="false">IF(E374="","",ตั้งค่า!$B$4+SUM($H$5:H374)-SUM($I$5:I374))</f>
        <v/>
      </c>
      <c r="K374" s="22" t="str">
        <f aca="false">IF(A374="","",MONTH(A374))</f>
        <v/>
      </c>
      <c r="L374" s="22" t="str">
        <f aca="false">IF(A374="","",YEAR(A374))</f>
        <v/>
      </c>
    </row>
    <row r="375" customFormat="false" ht="15" hidden="false" customHeight="false" outlineLevel="0" collapsed="false">
      <c r="A375" s="23"/>
      <c r="B375" s="24"/>
      <c r="C375" s="24"/>
      <c r="D375" s="20" t="str">
        <f aca="false">IF(C375="","",IF(COUNTIF(ตั้งค่า!$A$7:$A$18,C375)&gt;0,"รายรับ",IF(COUNTIF(ตั้งค่า!$C$7:$C$31,C375)&gt;0,"รายจ่าย","ไม่พบหมวดหมู่")))</f>
        <v/>
      </c>
      <c r="E375" s="25"/>
      <c r="F375" s="24"/>
      <c r="G375" s="24"/>
      <c r="H375" s="21" t="n">
        <f aca="false">IF(OR(E375="",D375&lt;&gt;"รายรับ"),0,E375)</f>
        <v>0</v>
      </c>
      <c r="I375" s="21" t="n">
        <f aca="false">IF(OR(E375="",D375&lt;&gt;"รายจ่าย"),0,E375)</f>
        <v>0</v>
      </c>
      <c r="J375" s="21" t="str">
        <f aca="false">IF(E375="","",ตั้งค่า!$B$4+SUM($H$5:H375)-SUM($I$5:I375))</f>
        <v/>
      </c>
      <c r="K375" s="22" t="str">
        <f aca="false">IF(A375="","",MONTH(A375))</f>
        <v/>
      </c>
      <c r="L375" s="22" t="str">
        <f aca="false">IF(A375="","",YEAR(A375))</f>
        <v/>
      </c>
    </row>
    <row r="376" customFormat="false" ht="15" hidden="false" customHeight="false" outlineLevel="0" collapsed="false">
      <c r="A376" s="23"/>
      <c r="B376" s="24"/>
      <c r="C376" s="24"/>
      <c r="D376" s="20" t="str">
        <f aca="false">IF(C376="","",IF(COUNTIF(ตั้งค่า!$A$7:$A$18,C376)&gt;0,"รายรับ",IF(COUNTIF(ตั้งค่า!$C$7:$C$31,C376)&gt;0,"รายจ่าย","ไม่พบหมวดหมู่")))</f>
        <v/>
      </c>
      <c r="E376" s="25"/>
      <c r="F376" s="24"/>
      <c r="G376" s="24"/>
      <c r="H376" s="21" t="n">
        <f aca="false">IF(OR(E376="",D376&lt;&gt;"รายรับ"),0,E376)</f>
        <v>0</v>
      </c>
      <c r="I376" s="21" t="n">
        <f aca="false">IF(OR(E376="",D376&lt;&gt;"รายจ่าย"),0,E376)</f>
        <v>0</v>
      </c>
      <c r="J376" s="21" t="str">
        <f aca="false">IF(E376="","",ตั้งค่า!$B$4+SUM($H$5:H376)-SUM($I$5:I376))</f>
        <v/>
      </c>
      <c r="K376" s="22" t="str">
        <f aca="false">IF(A376="","",MONTH(A376))</f>
        <v/>
      </c>
      <c r="L376" s="22" t="str">
        <f aca="false">IF(A376="","",YEAR(A376))</f>
        <v/>
      </c>
    </row>
    <row r="377" customFormat="false" ht="15" hidden="false" customHeight="false" outlineLevel="0" collapsed="false">
      <c r="A377" s="23"/>
      <c r="B377" s="24"/>
      <c r="C377" s="24"/>
      <c r="D377" s="20" t="str">
        <f aca="false">IF(C377="","",IF(COUNTIF(ตั้งค่า!$A$7:$A$18,C377)&gt;0,"รายรับ",IF(COUNTIF(ตั้งค่า!$C$7:$C$31,C377)&gt;0,"รายจ่าย","ไม่พบหมวดหมู่")))</f>
        <v/>
      </c>
      <c r="E377" s="25"/>
      <c r="F377" s="24"/>
      <c r="G377" s="24"/>
      <c r="H377" s="21" t="n">
        <f aca="false">IF(OR(E377="",D377&lt;&gt;"รายรับ"),0,E377)</f>
        <v>0</v>
      </c>
      <c r="I377" s="21" t="n">
        <f aca="false">IF(OR(E377="",D377&lt;&gt;"รายจ่าย"),0,E377)</f>
        <v>0</v>
      </c>
      <c r="J377" s="21" t="str">
        <f aca="false">IF(E377="","",ตั้งค่า!$B$4+SUM($H$5:H377)-SUM($I$5:I377))</f>
        <v/>
      </c>
      <c r="K377" s="22" t="str">
        <f aca="false">IF(A377="","",MONTH(A377))</f>
        <v/>
      </c>
      <c r="L377" s="22" t="str">
        <f aca="false">IF(A377="","",YEAR(A377))</f>
        <v/>
      </c>
    </row>
    <row r="378" customFormat="false" ht="15" hidden="false" customHeight="false" outlineLevel="0" collapsed="false">
      <c r="A378" s="23"/>
      <c r="B378" s="24"/>
      <c r="C378" s="24"/>
      <c r="D378" s="20" t="str">
        <f aca="false">IF(C378="","",IF(COUNTIF(ตั้งค่า!$A$7:$A$18,C378)&gt;0,"รายรับ",IF(COUNTIF(ตั้งค่า!$C$7:$C$31,C378)&gt;0,"รายจ่าย","ไม่พบหมวดหมู่")))</f>
        <v/>
      </c>
      <c r="E378" s="25"/>
      <c r="F378" s="24"/>
      <c r="G378" s="24"/>
      <c r="H378" s="21" t="n">
        <f aca="false">IF(OR(E378="",D378&lt;&gt;"รายรับ"),0,E378)</f>
        <v>0</v>
      </c>
      <c r="I378" s="21" t="n">
        <f aca="false">IF(OR(E378="",D378&lt;&gt;"รายจ่าย"),0,E378)</f>
        <v>0</v>
      </c>
      <c r="J378" s="21" t="str">
        <f aca="false">IF(E378="","",ตั้งค่า!$B$4+SUM($H$5:H378)-SUM($I$5:I378))</f>
        <v/>
      </c>
      <c r="K378" s="22" t="str">
        <f aca="false">IF(A378="","",MONTH(A378))</f>
        <v/>
      </c>
      <c r="L378" s="22" t="str">
        <f aca="false">IF(A378="","",YEAR(A378))</f>
        <v/>
      </c>
    </row>
    <row r="379" customFormat="false" ht="15" hidden="false" customHeight="false" outlineLevel="0" collapsed="false">
      <c r="A379" s="23"/>
      <c r="B379" s="24"/>
      <c r="C379" s="24"/>
      <c r="D379" s="20" t="str">
        <f aca="false">IF(C379="","",IF(COUNTIF(ตั้งค่า!$A$7:$A$18,C379)&gt;0,"รายรับ",IF(COUNTIF(ตั้งค่า!$C$7:$C$31,C379)&gt;0,"รายจ่าย","ไม่พบหมวดหมู่")))</f>
        <v/>
      </c>
      <c r="E379" s="25"/>
      <c r="F379" s="24"/>
      <c r="G379" s="24"/>
      <c r="H379" s="21" t="n">
        <f aca="false">IF(OR(E379="",D379&lt;&gt;"รายรับ"),0,E379)</f>
        <v>0</v>
      </c>
      <c r="I379" s="21" t="n">
        <f aca="false">IF(OR(E379="",D379&lt;&gt;"รายจ่าย"),0,E379)</f>
        <v>0</v>
      </c>
      <c r="J379" s="21" t="str">
        <f aca="false">IF(E379="","",ตั้งค่า!$B$4+SUM($H$5:H379)-SUM($I$5:I379))</f>
        <v/>
      </c>
      <c r="K379" s="22" t="str">
        <f aca="false">IF(A379="","",MONTH(A379))</f>
        <v/>
      </c>
      <c r="L379" s="22" t="str">
        <f aca="false">IF(A379="","",YEAR(A379))</f>
        <v/>
      </c>
    </row>
    <row r="380" customFormat="false" ht="15" hidden="false" customHeight="false" outlineLevel="0" collapsed="false">
      <c r="A380" s="23"/>
      <c r="B380" s="24"/>
      <c r="C380" s="24"/>
      <c r="D380" s="20" t="str">
        <f aca="false">IF(C380="","",IF(COUNTIF(ตั้งค่า!$A$7:$A$18,C380)&gt;0,"รายรับ",IF(COUNTIF(ตั้งค่า!$C$7:$C$31,C380)&gt;0,"รายจ่าย","ไม่พบหมวดหมู่")))</f>
        <v/>
      </c>
      <c r="E380" s="25"/>
      <c r="F380" s="24"/>
      <c r="G380" s="24"/>
      <c r="H380" s="21" t="n">
        <f aca="false">IF(OR(E380="",D380&lt;&gt;"รายรับ"),0,E380)</f>
        <v>0</v>
      </c>
      <c r="I380" s="21" t="n">
        <f aca="false">IF(OR(E380="",D380&lt;&gt;"รายจ่าย"),0,E380)</f>
        <v>0</v>
      </c>
      <c r="J380" s="21" t="str">
        <f aca="false">IF(E380="","",ตั้งค่า!$B$4+SUM($H$5:H380)-SUM($I$5:I380))</f>
        <v/>
      </c>
      <c r="K380" s="22" t="str">
        <f aca="false">IF(A380="","",MONTH(A380))</f>
        <v/>
      </c>
      <c r="L380" s="22" t="str">
        <f aca="false">IF(A380="","",YEAR(A380))</f>
        <v/>
      </c>
    </row>
    <row r="381" customFormat="false" ht="15" hidden="false" customHeight="false" outlineLevel="0" collapsed="false">
      <c r="A381" s="23"/>
      <c r="B381" s="24"/>
      <c r="C381" s="24"/>
      <c r="D381" s="20" t="str">
        <f aca="false">IF(C381="","",IF(COUNTIF(ตั้งค่า!$A$7:$A$18,C381)&gt;0,"รายรับ",IF(COUNTIF(ตั้งค่า!$C$7:$C$31,C381)&gt;0,"รายจ่าย","ไม่พบหมวดหมู่")))</f>
        <v/>
      </c>
      <c r="E381" s="25"/>
      <c r="F381" s="24"/>
      <c r="G381" s="24"/>
      <c r="H381" s="21" t="n">
        <f aca="false">IF(OR(E381="",D381&lt;&gt;"รายรับ"),0,E381)</f>
        <v>0</v>
      </c>
      <c r="I381" s="21" t="n">
        <f aca="false">IF(OR(E381="",D381&lt;&gt;"รายจ่าย"),0,E381)</f>
        <v>0</v>
      </c>
      <c r="J381" s="21" t="str">
        <f aca="false">IF(E381="","",ตั้งค่า!$B$4+SUM($H$5:H381)-SUM($I$5:I381))</f>
        <v/>
      </c>
      <c r="K381" s="22" t="str">
        <f aca="false">IF(A381="","",MONTH(A381))</f>
        <v/>
      </c>
      <c r="L381" s="22" t="str">
        <f aca="false">IF(A381="","",YEAR(A381))</f>
        <v/>
      </c>
    </row>
    <row r="382" customFormat="false" ht="15" hidden="false" customHeight="false" outlineLevel="0" collapsed="false">
      <c r="A382" s="23"/>
      <c r="B382" s="24"/>
      <c r="C382" s="24"/>
      <c r="D382" s="20" t="str">
        <f aca="false">IF(C382="","",IF(COUNTIF(ตั้งค่า!$A$7:$A$18,C382)&gt;0,"รายรับ",IF(COUNTIF(ตั้งค่า!$C$7:$C$31,C382)&gt;0,"รายจ่าย","ไม่พบหมวดหมู่")))</f>
        <v/>
      </c>
      <c r="E382" s="25"/>
      <c r="F382" s="24"/>
      <c r="G382" s="24"/>
      <c r="H382" s="21" t="n">
        <f aca="false">IF(OR(E382="",D382&lt;&gt;"รายรับ"),0,E382)</f>
        <v>0</v>
      </c>
      <c r="I382" s="21" t="n">
        <f aca="false">IF(OR(E382="",D382&lt;&gt;"รายจ่าย"),0,E382)</f>
        <v>0</v>
      </c>
      <c r="J382" s="21" t="str">
        <f aca="false">IF(E382="","",ตั้งค่า!$B$4+SUM($H$5:H382)-SUM($I$5:I382))</f>
        <v/>
      </c>
      <c r="K382" s="22" t="str">
        <f aca="false">IF(A382="","",MONTH(A382))</f>
        <v/>
      </c>
      <c r="L382" s="22" t="str">
        <f aca="false">IF(A382="","",YEAR(A382))</f>
        <v/>
      </c>
    </row>
    <row r="383" customFormat="false" ht="15" hidden="false" customHeight="false" outlineLevel="0" collapsed="false">
      <c r="A383" s="23"/>
      <c r="B383" s="24"/>
      <c r="C383" s="24"/>
      <c r="D383" s="20" t="str">
        <f aca="false">IF(C383="","",IF(COUNTIF(ตั้งค่า!$A$7:$A$18,C383)&gt;0,"รายรับ",IF(COUNTIF(ตั้งค่า!$C$7:$C$31,C383)&gt;0,"รายจ่าย","ไม่พบหมวดหมู่")))</f>
        <v/>
      </c>
      <c r="E383" s="25"/>
      <c r="F383" s="24"/>
      <c r="G383" s="24"/>
      <c r="H383" s="21" t="n">
        <f aca="false">IF(OR(E383="",D383&lt;&gt;"รายรับ"),0,E383)</f>
        <v>0</v>
      </c>
      <c r="I383" s="21" t="n">
        <f aca="false">IF(OR(E383="",D383&lt;&gt;"รายจ่าย"),0,E383)</f>
        <v>0</v>
      </c>
      <c r="J383" s="21" t="str">
        <f aca="false">IF(E383="","",ตั้งค่า!$B$4+SUM($H$5:H383)-SUM($I$5:I383))</f>
        <v/>
      </c>
      <c r="K383" s="22" t="str">
        <f aca="false">IF(A383="","",MONTH(A383))</f>
        <v/>
      </c>
      <c r="L383" s="22" t="str">
        <f aca="false">IF(A383="","",YEAR(A383))</f>
        <v/>
      </c>
    </row>
    <row r="384" customFormat="false" ht="15" hidden="false" customHeight="false" outlineLevel="0" collapsed="false">
      <c r="A384" s="23"/>
      <c r="B384" s="24"/>
      <c r="C384" s="24"/>
      <c r="D384" s="20" t="str">
        <f aca="false">IF(C384="","",IF(COUNTIF(ตั้งค่า!$A$7:$A$18,C384)&gt;0,"รายรับ",IF(COUNTIF(ตั้งค่า!$C$7:$C$31,C384)&gt;0,"รายจ่าย","ไม่พบหมวดหมู่")))</f>
        <v/>
      </c>
      <c r="E384" s="25"/>
      <c r="F384" s="24"/>
      <c r="G384" s="24"/>
      <c r="H384" s="21" t="n">
        <f aca="false">IF(OR(E384="",D384&lt;&gt;"รายรับ"),0,E384)</f>
        <v>0</v>
      </c>
      <c r="I384" s="21" t="n">
        <f aca="false">IF(OR(E384="",D384&lt;&gt;"รายจ่าย"),0,E384)</f>
        <v>0</v>
      </c>
      <c r="J384" s="21" t="str">
        <f aca="false">IF(E384="","",ตั้งค่า!$B$4+SUM($H$5:H384)-SUM($I$5:I384))</f>
        <v/>
      </c>
      <c r="K384" s="22" t="str">
        <f aca="false">IF(A384="","",MONTH(A384))</f>
        <v/>
      </c>
      <c r="L384" s="22" t="str">
        <f aca="false">IF(A384="","",YEAR(A384))</f>
        <v/>
      </c>
    </row>
    <row r="385" customFormat="false" ht="15" hidden="false" customHeight="false" outlineLevel="0" collapsed="false">
      <c r="A385" s="23"/>
      <c r="B385" s="24"/>
      <c r="C385" s="24"/>
      <c r="D385" s="20" t="str">
        <f aca="false">IF(C385="","",IF(COUNTIF(ตั้งค่า!$A$7:$A$18,C385)&gt;0,"รายรับ",IF(COUNTIF(ตั้งค่า!$C$7:$C$31,C385)&gt;0,"รายจ่าย","ไม่พบหมวดหมู่")))</f>
        <v/>
      </c>
      <c r="E385" s="25"/>
      <c r="F385" s="24"/>
      <c r="G385" s="24"/>
      <c r="H385" s="21" t="n">
        <f aca="false">IF(OR(E385="",D385&lt;&gt;"รายรับ"),0,E385)</f>
        <v>0</v>
      </c>
      <c r="I385" s="21" t="n">
        <f aca="false">IF(OR(E385="",D385&lt;&gt;"รายจ่าย"),0,E385)</f>
        <v>0</v>
      </c>
      <c r="J385" s="21" t="str">
        <f aca="false">IF(E385="","",ตั้งค่า!$B$4+SUM($H$5:H385)-SUM($I$5:I385))</f>
        <v/>
      </c>
      <c r="K385" s="22" t="str">
        <f aca="false">IF(A385="","",MONTH(A385))</f>
        <v/>
      </c>
      <c r="L385" s="22" t="str">
        <f aca="false">IF(A385="","",YEAR(A385))</f>
        <v/>
      </c>
    </row>
    <row r="386" customFormat="false" ht="15" hidden="false" customHeight="false" outlineLevel="0" collapsed="false">
      <c r="A386" s="23"/>
      <c r="B386" s="24"/>
      <c r="C386" s="24"/>
      <c r="D386" s="20" t="str">
        <f aca="false">IF(C386="","",IF(COUNTIF(ตั้งค่า!$A$7:$A$18,C386)&gt;0,"รายรับ",IF(COUNTIF(ตั้งค่า!$C$7:$C$31,C386)&gt;0,"รายจ่าย","ไม่พบหมวดหมู่")))</f>
        <v/>
      </c>
      <c r="E386" s="25"/>
      <c r="F386" s="24"/>
      <c r="G386" s="24"/>
      <c r="H386" s="21" t="n">
        <f aca="false">IF(OR(E386="",D386&lt;&gt;"รายรับ"),0,E386)</f>
        <v>0</v>
      </c>
      <c r="I386" s="21" t="n">
        <f aca="false">IF(OR(E386="",D386&lt;&gt;"รายจ่าย"),0,E386)</f>
        <v>0</v>
      </c>
      <c r="J386" s="21" t="str">
        <f aca="false">IF(E386="","",ตั้งค่า!$B$4+SUM($H$5:H386)-SUM($I$5:I386))</f>
        <v/>
      </c>
      <c r="K386" s="22" t="str">
        <f aca="false">IF(A386="","",MONTH(A386))</f>
        <v/>
      </c>
      <c r="L386" s="22" t="str">
        <f aca="false">IF(A386="","",YEAR(A386))</f>
        <v/>
      </c>
    </row>
    <row r="387" customFormat="false" ht="15" hidden="false" customHeight="false" outlineLevel="0" collapsed="false">
      <c r="A387" s="23"/>
      <c r="B387" s="24"/>
      <c r="C387" s="24"/>
      <c r="D387" s="20" t="str">
        <f aca="false">IF(C387="","",IF(COUNTIF(ตั้งค่า!$A$7:$A$18,C387)&gt;0,"รายรับ",IF(COUNTIF(ตั้งค่า!$C$7:$C$31,C387)&gt;0,"รายจ่าย","ไม่พบหมวดหมู่")))</f>
        <v/>
      </c>
      <c r="E387" s="25"/>
      <c r="F387" s="24"/>
      <c r="G387" s="24"/>
      <c r="H387" s="21" t="n">
        <f aca="false">IF(OR(E387="",D387&lt;&gt;"รายรับ"),0,E387)</f>
        <v>0</v>
      </c>
      <c r="I387" s="21" t="n">
        <f aca="false">IF(OR(E387="",D387&lt;&gt;"รายจ่าย"),0,E387)</f>
        <v>0</v>
      </c>
      <c r="J387" s="21" t="str">
        <f aca="false">IF(E387="","",ตั้งค่า!$B$4+SUM($H$5:H387)-SUM($I$5:I387))</f>
        <v/>
      </c>
      <c r="K387" s="22" t="str">
        <f aca="false">IF(A387="","",MONTH(A387))</f>
        <v/>
      </c>
      <c r="L387" s="22" t="str">
        <f aca="false">IF(A387="","",YEAR(A387))</f>
        <v/>
      </c>
    </row>
    <row r="388" customFormat="false" ht="15" hidden="false" customHeight="false" outlineLevel="0" collapsed="false">
      <c r="A388" s="23"/>
      <c r="B388" s="24"/>
      <c r="C388" s="24"/>
      <c r="D388" s="20" t="str">
        <f aca="false">IF(C388="","",IF(COUNTIF(ตั้งค่า!$A$7:$A$18,C388)&gt;0,"รายรับ",IF(COUNTIF(ตั้งค่า!$C$7:$C$31,C388)&gt;0,"รายจ่าย","ไม่พบหมวดหมู่")))</f>
        <v/>
      </c>
      <c r="E388" s="25"/>
      <c r="F388" s="24"/>
      <c r="G388" s="24"/>
      <c r="H388" s="21" t="n">
        <f aca="false">IF(OR(E388="",D388&lt;&gt;"รายรับ"),0,E388)</f>
        <v>0</v>
      </c>
      <c r="I388" s="21" t="n">
        <f aca="false">IF(OR(E388="",D388&lt;&gt;"รายจ่าย"),0,E388)</f>
        <v>0</v>
      </c>
      <c r="J388" s="21" t="str">
        <f aca="false">IF(E388="","",ตั้งค่า!$B$4+SUM($H$5:H388)-SUM($I$5:I388))</f>
        <v/>
      </c>
      <c r="K388" s="22" t="str">
        <f aca="false">IF(A388="","",MONTH(A388))</f>
        <v/>
      </c>
      <c r="L388" s="22" t="str">
        <f aca="false">IF(A388="","",YEAR(A388))</f>
        <v/>
      </c>
    </row>
    <row r="389" customFormat="false" ht="15" hidden="false" customHeight="false" outlineLevel="0" collapsed="false">
      <c r="A389" s="23"/>
      <c r="B389" s="24"/>
      <c r="C389" s="24"/>
      <c r="D389" s="20" t="str">
        <f aca="false">IF(C389="","",IF(COUNTIF(ตั้งค่า!$A$7:$A$18,C389)&gt;0,"รายรับ",IF(COUNTIF(ตั้งค่า!$C$7:$C$31,C389)&gt;0,"รายจ่าย","ไม่พบหมวดหมู่")))</f>
        <v/>
      </c>
      <c r="E389" s="25"/>
      <c r="F389" s="24"/>
      <c r="G389" s="24"/>
      <c r="H389" s="21" t="n">
        <f aca="false">IF(OR(E389="",D389&lt;&gt;"รายรับ"),0,E389)</f>
        <v>0</v>
      </c>
      <c r="I389" s="21" t="n">
        <f aca="false">IF(OR(E389="",D389&lt;&gt;"รายจ่าย"),0,E389)</f>
        <v>0</v>
      </c>
      <c r="J389" s="21" t="str">
        <f aca="false">IF(E389="","",ตั้งค่า!$B$4+SUM($H$5:H389)-SUM($I$5:I389))</f>
        <v/>
      </c>
      <c r="K389" s="22" t="str">
        <f aca="false">IF(A389="","",MONTH(A389))</f>
        <v/>
      </c>
      <c r="L389" s="22" t="str">
        <f aca="false">IF(A389="","",YEAR(A389))</f>
        <v/>
      </c>
    </row>
    <row r="390" customFormat="false" ht="15" hidden="false" customHeight="false" outlineLevel="0" collapsed="false">
      <c r="A390" s="23"/>
      <c r="B390" s="24"/>
      <c r="C390" s="24"/>
      <c r="D390" s="20" t="str">
        <f aca="false">IF(C390="","",IF(COUNTIF(ตั้งค่า!$A$7:$A$18,C390)&gt;0,"รายรับ",IF(COUNTIF(ตั้งค่า!$C$7:$C$31,C390)&gt;0,"รายจ่าย","ไม่พบหมวดหมู่")))</f>
        <v/>
      </c>
      <c r="E390" s="25"/>
      <c r="F390" s="24"/>
      <c r="G390" s="24"/>
      <c r="H390" s="21" t="n">
        <f aca="false">IF(OR(E390="",D390&lt;&gt;"รายรับ"),0,E390)</f>
        <v>0</v>
      </c>
      <c r="I390" s="21" t="n">
        <f aca="false">IF(OR(E390="",D390&lt;&gt;"รายจ่าย"),0,E390)</f>
        <v>0</v>
      </c>
      <c r="J390" s="21" t="str">
        <f aca="false">IF(E390="","",ตั้งค่า!$B$4+SUM($H$5:H390)-SUM($I$5:I390))</f>
        <v/>
      </c>
      <c r="K390" s="22" t="str">
        <f aca="false">IF(A390="","",MONTH(A390))</f>
        <v/>
      </c>
      <c r="L390" s="22" t="str">
        <f aca="false">IF(A390="","",YEAR(A390))</f>
        <v/>
      </c>
    </row>
    <row r="391" customFormat="false" ht="15" hidden="false" customHeight="false" outlineLevel="0" collapsed="false">
      <c r="A391" s="23"/>
      <c r="B391" s="24"/>
      <c r="C391" s="24"/>
      <c r="D391" s="20" t="str">
        <f aca="false">IF(C391="","",IF(COUNTIF(ตั้งค่า!$A$7:$A$18,C391)&gt;0,"รายรับ",IF(COUNTIF(ตั้งค่า!$C$7:$C$31,C391)&gt;0,"รายจ่าย","ไม่พบหมวดหมู่")))</f>
        <v/>
      </c>
      <c r="E391" s="25"/>
      <c r="F391" s="24"/>
      <c r="G391" s="24"/>
      <c r="H391" s="21" t="n">
        <f aca="false">IF(OR(E391="",D391&lt;&gt;"รายรับ"),0,E391)</f>
        <v>0</v>
      </c>
      <c r="I391" s="21" t="n">
        <f aca="false">IF(OR(E391="",D391&lt;&gt;"รายจ่าย"),0,E391)</f>
        <v>0</v>
      </c>
      <c r="J391" s="21" t="str">
        <f aca="false">IF(E391="","",ตั้งค่า!$B$4+SUM($H$5:H391)-SUM($I$5:I391))</f>
        <v/>
      </c>
      <c r="K391" s="22" t="str">
        <f aca="false">IF(A391="","",MONTH(A391))</f>
        <v/>
      </c>
      <c r="L391" s="22" t="str">
        <f aca="false">IF(A391="","",YEAR(A391))</f>
        <v/>
      </c>
    </row>
    <row r="392" customFormat="false" ht="15" hidden="false" customHeight="false" outlineLevel="0" collapsed="false">
      <c r="A392" s="23"/>
      <c r="B392" s="24"/>
      <c r="C392" s="24"/>
      <c r="D392" s="20" t="str">
        <f aca="false">IF(C392="","",IF(COUNTIF(ตั้งค่า!$A$7:$A$18,C392)&gt;0,"รายรับ",IF(COUNTIF(ตั้งค่า!$C$7:$C$31,C392)&gt;0,"รายจ่าย","ไม่พบหมวดหมู่")))</f>
        <v/>
      </c>
      <c r="E392" s="25"/>
      <c r="F392" s="24"/>
      <c r="G392" s="24"/>
      <c r="H392" s="21" t="n">
        <f aca="false">IF(OR(E392="",D392&lt;&gt;"รายรับ"),0,E392)</f>
        <v>0</v>
      </c>
      <c r="I392" s="21" t="n">
        <f aca="false">IF(OR(E392="",D392&lt;&gt;"รายจ่าย"),0,E392)</f>
        <v>0</v>
      </c>
      <c r="J392" s="21" t="str">
        <f aca="false">IF(E392="","",ตั้งค่า!$B$4+SUM($H$5:H392)-SUM($I$5:I392))</f>
        <v/>
      </c>
      <c r="K392" s="22" t="str">
        <f aca="false">IF(A392="","",MONTH(A392))</f>
        <v/>
      </c>
      <c r="L392" s="22" t="str">
        <f aca="false">IF(A392="","",YEAR(A392))</f>
        <v/>
      </c>
    </row>
    <row r="393" customFormat="false" ht="15" hidden="false" customHeight="false" outlineLevel="0" collapsed="false">
      <c r="A393" s="23"/>
      <c r="B393" s="24"/>
      <c r="C393" s="24"/>
      <c r="D393" s="20" t="str">
        <f aca="false">IF(C393="","",IF(COUNTIF(ตั้งค่า!$A$7:$A$18,C393)&gt;0,"รายรับ",IF(COUNTIF(ตั้งค่า!$C$7:$C$31,C393)&gt;0,"รายจ่าย","ไม่พบหมวดหมู่")))</f>
        <v/>
      </c>
      <c r="E393" s="25"/>
      <c r="F393" s="24"/>
      <c r="G393" s="24"/>
      <c r="H393" s="21" t="n">
        <f aca="false">IF(OR(E393="",D393&lt;&gt;"รายรับ"),0,E393)</f>
        <v>0</v>
      </c>
      <c r="I393" s="21" t="n">
        <f aca="false">IF(OR(E393="",D393&lt;&gt;"รายจ่าย"),0,E393)</f>
        <v>0</v>
      </c>
      <c r="J393" s="21" t="str">
        <f aca="false">IF(E393="","",ตั้งค่า!$B$4+SUM($H$5:H393)-SUM($I$5:I393))</f>
        <v/>
      </c>
      <c r="K393" s="22" t="str">
        <f aca="false">IF(A393="","",MONTH(A393))</f>
        <v/>
      </c>
      <c r="L393" s="22" t="str">
        <f aca="false">IF(A393="","",YEAR(A393))</f>
        <v/>
      </c>
    </row>
    <row r="394" customFormat="false" ht="15" hidden="false" customHeight="false" outlineLevel="0" collapsed="false">
      <c r="A394" s="23"/>
      <c r="B394" s="24"/>
      <c r="C394" s="24"/>
      <c r="D394" s="20" t="str">
        <f aca="false">IF(C394="","",IF(COUNTIF(ตั้งค่า!$A$7:$A$18,C394)&gt;0,"รายรับ",IF(COUNTIF(ตั้งค่า!$C$7:$C$31,C394)&gt;0,"รายจ่าย","ไม่พบหมวดหมู่")))</f>
        <v/>
      </c>
      <c r="E394" s="25"/>
      <c r="F394" s="24"/>
      <c r="G394" s="24"/>
      <c r="H394" s="21" t="n">
        <f aca="false">IF(OR(E394="",D394&lt;&gt;"รายรับ"),0,E394)</f>
        <v>0</v>
      </c>
      <c r="I394" s="21" t="n">
        <f aca="false">IF(OR(E394="",D394&lt;&gt;"รายจ่าย"),0,E394)</f>
        <v>0</v>
      </c>
      <c r="J394" s="21" t="str">
        <f aca="false">IF(E394="","",ตั้งค่า!$B$4+SUM($H$5:H394)-SUM($I$5:I394))</f>
        <v/>
      </c>
      <c r="K394" s="22" t="str">
        <f aca="false">IF(A394="","",MONTH(A394))</f>
        <v/>
      </c>
      <c r="L394" s="22" t="str">
        <f aca="false">IF(A394="","",YEAR(A394))</f>
        <v/>
      </c>
    </row>
    <row r="395" customFormat="false" ht="15" hidden="false" customHeight="false" outlineLevel="0" collapsed="false">
      <c r="A395" s="23"/>
      <c r="B395" s="24"/>
      <c r="C395" s="24"/>
      <c r="D395" s="20" t="str">
        <f aca="false">IF(C395="","",IF(COUNTIF(ตั้งค่า!$A$7:$A$18,C395)&gt;0,"รายรับ",IF(COUNTIF(ตั้งค่า!$C$7:$C$31,C395)&gt;0,"รายจ่าย","ไม่พบหมวดหมู่")))</f>
        <v/>
      </c>
      <c r="E395" s="25"/>
      <c r="F395" s="24"/>
      <c r="G395" s="24"/>
      <c r="H395" s="21" t="n">
        <f aca="false">IF(OR(E395="",D395&lt;&gt;"รายรับ"),0,E395)</f>
        <v>0</v>
      </c>
      <c r="I395" s="21" t="n">
        <f aca="false">IF(OR(E395="",D395&lt;&gt;"รายจ่าย"),0,E395)</f>
        <v>0</v>
      </c>
      <c r="J395" s="21" t="str">
        <f aca="false">IF(E395="","",ตั้งค่า!$B$4+SUM($H$5:H395)-SUM($I$5:I395))</f>
        <v/>
      </c>
      <c r="K395" s="22" t="str">
        <f aca="false">IF(A395="","",MONTH(A395))</f>
        <v/>
      </c>
      <c r="L395" s="22" t="str">
        <f aca="false">IF(A395="","",YEAR(A395))</f>
        <v/>
      </c>
    </row>
    <row r="396" customFormat="false" ht="15" hidden="false" customHeight="false" outlineLevel="0" collapsed="false">
      <c r="A396" s="23"/>
      <c r="B396" s="24"/>
      <c r="C396" s="24"/>
      <c r="D396" s="20" t="str">
        <f aca="false">IF(C396="","",IF(COUNTIF(ตั้งค่า!$A$7:$A$18,C396)&gt;0,"รายรับ",IF(COUNTIF(ตั้งค่า!$C$7:$C$31,C396)&gt;0,"รายจ่าย","ไม่พบหมวดหมู่")))</f>
        <v/>
      </c>
      <c r="E396" s="25"/>
      <c r="F396" s="24"/>
      <c r="G396" s="24"/>
      <c r="H396" s="21" t="n">
        <f aca="false">IF(OR(E396="",D396&lt;&gt;"รายรับ"),0,E396)</f>
        <v>0</v>
      </c>
      <c r="I396" s="21" t="n">
        <f aca="false">IF(OR(E396="",D396&lt;&gt;"รายจ่าย"),0,E396)</f>
        <v>0</v>
      </c>
      <c r="J396" s="21" t="str">
        <f aca="false">IF(E396="","",ตั้งค่า!$B$4+SUM($H$5:H396)-SUM($I$5:I396))</f>
        <v/>
      </c>
      <c r="K396" s="22" t="str">
        <f aca="false">IF(A396="","",MONTH(A396))</f>
        <v/>
      </c>
      <c r="L396" s="22" t="str">
        <f aca="false">IF(A396="","",YEAR(A396))</f>
        <v/>
      </c>
    </row>
    <row r="397" customFormat="false" ht="15" hidden="false" customHeight="false" outlineLevel="0" collapsed="false">
      <c r="A397" s="23"/>
      <c r="B397" s="24"/>
      <c r="C397" s="24"/>
      <c r="D397" s="20" t="str">
        <f aca="false">IF(C397="","",IF(COUNTIF(ตั้งค่า!$A$7:$A$18,C397)&gt;0,"รายรับ",IF(COUNTIF(ตั้งค่า!$C$7:$C$31,C397)&gt;0,"รายจ่าย","ไม่พบหมวดหมู่")))</f>
        <v/>
      </c>
      <c r="E397" s="25"/>
      <c r="F397" s="24"/>
      <c r="G397" s="24"/>
      <c r="H397" s="21" t="n">
        <f aca="false">IF(OR(E397="",D397&lt;&gt;"รายรับ"),0,E397)</f>
        <v>0</v>
      </c>
      <c r="I397" s="21" t="n">
        <f aca="false">IF(OR(E397="",D397&lt;&gt;"รายจ่าย"),0,E397)</f>
        <v>0</v>
      </c>
      <c r="J397" s="21" t="str">
        <f aca="false">IF(E397="","",ตั้งค่า!$B$4+SUM($H$5:H397)-SUM($I$5:I397))</f>
        <v/>
      </c>
      <c r="K397" s="22" t="str">
        <f aca="false">IF(A397="","",MONTH(A397))</f>
        <v/>
      </c>
      <c r="L397" s="22" t="str">
        <f aca="false">IF(A397="","",YEAR(A397))</f>
        <v/>
      </c>
    </row>
    <row r="398" customFormat="false" ht="15" hidden="false" customHeight="false" outlineLevel="0" collapsed="false">
      <c r="A398" s="23"/>
      <c r="B398" s="24"/>
      <c r="C398" s="24"/>
      <c r="D398" s="20" t="str">
        <f aca="false">IF(C398="","",IF(COUNTIF(ตั้งค่า!$A$7:$A$18,C398)&gt;0,"รายรับ",IF(COUNTIF(ตั้งค่า!$C$7:$C$31,C398)&gt;0,"รายจ่าย","ไม่พบหมวดหมู่")))</f>
        <v/>
      </c>
      <c r="E398" s="25"/>
      <c r="F398" s="24"/>
      <c r="G398" s="24"/>
      <c r="H398" s="21" t="n">
        <f aca="false">IF(OR(E398="",D398&lt;&gt;"รายรับ"),0,E398)</f>
        <v>0</v>
      </c>
      <c r="I398" s="21" t="n">
        <f aca="false">IF(OR(E398="",D398&lt;&gt;"รายจ่าย"),0,E398)</f>
        <v>0</v>
      </c>
      <c r="J398" s="21" t="str">
        <f aca="false">IF(E398="","",ตั้งค่า!$B$4+SUM($H$5:H398)-SUM($I$5:I398))</f>
        <v/>
      </c>
      <c r="K398" s="22" t="str">
        <f aca="false">IF(A398="","",MONTH(A398))</f>
        <v/>
      </c>
      <c r="L398" s="22" t="str">
        <f aca="false">IF(A398="","",YEAR(A398))</f>
        <v/>
      </c>
    </row>
    <row r="399" customFormat="false" ht="15" hidden="false" customHeight="false" outlineLevel="0" collapsed="false">
      <c r="A399" s="23"/>
      <c r="B399" s="24"/>
      <c r="C399" s="24"/>
      <c r="D399" s="20" t="str">
        <f aca="false">IF(C399="","",IF(COUNTIF(ตั้งค่า!$A$7:$A$18,C399)&gt;0,"รายรับ",IF(COUNTIF(ตั้งค่า!$C$7:$C$31,C399)&gt;0,"รายจ่าย","ไม่พบหมวดหมู่")))</f>
        <v/>
      </c>
      <c r="E399" s="25"/>
      <c r="F399" s="24"/>
      <c r="G399" s="24"/>
      <c r="H399" s="21" t="n">
        <f aca="false">IF(OR(E399="",D399&lt;&gt;"รายรับ"),0,E399)</f>
        <v>0</v>
      </c>
      <c r="I399" s="21" t="n">
        <f aca="false">IF(OR(E399="",D399&lt;&gt;"รายจ่าย"),0,E399)</f>
        <v>0</v>
      </c>
      <c r="J399" s="21" t="str">
        <f aca="false">IF(E399="","",ตั้งค่า!$B$4+SUM($H$5:H399)-SUM($I$5:I399))</f>
        <v/>
      </c>
      <c r="K399" s="22" t="str">
        <f aca="false">IF(A399="","",MONTH(A399))</f>
        <v/>
      </c>
      <c r="L399" s="22" t="str">
        <f aca="false">IF(A399="","",YEAR(A399))</f>
        <v/>
      </c>
    </row>
    <row r="400" customFormat="false" ht="15" hidden="false" customHeight="false" outlineLevel="0" collapsed="false">
      <c r="A400" s="23"/>
      <c r="B400" s="24"/>
      <c r="C400" s="24"/>
      <c r="D400" s="20" t="str">
        <f aca="false">IF(C400="","",IF(COUNTIF(ตั้งค่า!$A$7:$A$18,C400)&gt;0,"รายรับ",IF(COUNTIF(ตั้งค่า!$C$7:$C$31,C400)&gt;0,"รายจ่าย","ไม่พบหมวดหมู่")))</f>
        <v/>
      </c>
      <c r="E400" s="25"/>
      <c r="F400" s="24"/>
      <c r="G400" s="24"/>
      <c r="H400" s="21" t="n">
        <f aca="false">IF(OR(E400="",D400&lt;&gt;"รายรับ"),0,E400)</f>
        <v>0</v>
      </c>
      <c r="I400" s="21" t="n">
        <f aca="false">IF(OR(E400="",D400&lt;&gt;"รายจ่าย"),0,E400)</f>
        <v>0</v>
      </c>
      <c r="J400" s="21" t="str">
        <f aca="false">IF(E400="","",ตั้งค่า!$B$4+SUM($H$5:H400)-SUM($I$5:I400))</f>
        <v/>
      </c>
      <c r="K400" s="22" t="str">
        <f aca="false">IF(A400="","",MONTH(A400))</f>
        <v/>
      </c>
      <c r="L400" s="22" t="str">
        <f aca="false">IF(A400="","",YEAR(A400))</f>
        <v/>
      </c>
    </row>
    <row r="401" customFormat="false" ht="15" hidden="false" customHeight="false" outlineLevel="0" collapsed="false">
      <c r="A401" s="23"/>
      <c r="B401" s="24"/>
      <c r="C401" s="24"/>
      <c r="D401" s="20" t="str">
        <f aca="false">IF(C401="","",IF(COUNTIF(ตั้งค่า!$A$7:$A$18,C401)&gt;0,"รายรับ",IF(COUNTIF(ตั้งค่า!$C$7:$C$31,C401)&gt;0,"รายจ่าย","ไม่พบหมวดหมู่")))</f>
        <v/>
      </c>
      <c r="E401" s="25"/>
      <c r="F401" s="24"/>
      <c r="G401" s="24"/>
      <c r="H401" s="21" t="n">
        <f aca="false">IF(OR(E401="",D401&lt;&gt;"รายรับ"),0,E401)</f>
        <v>0</v>
      </c>
      <c r="I401" s="21" t="n">
        <f aca="false">IF(OR(E401="",D401&lt;&gt;"รายจ่าย"),0,E401)</f>
        <v>0</v>
      </c>
      <c r="J401" s="21" t="str">
        <f aca="false">IF(E401="","",ตั้งค่า!$B$4+SUM($H$5:H401)-SUM($I$5:I401))</f>
        <v/>
      </c>
      <c r="K401" s="22" t="str">
        <f aca="false">IF(A401="","",MONTH(A401))</f>
        <v/>
      </c>
      <c r="L401" s="22" t="str">
        <f aca="false">IF(A401="","",YEAR(A401))</f>
        <v/>
      </c>
    </row>
    <row r="402" customFormat="false" ht="15" hidden="false" customHeight="false" outlineLevel="0" collapsed="false">
      <c r="A402" s="23"/>
      <c r="B402" s="24"/>
      <c r="C402" s="24"/>
      <c r="D402" s="20" t="str">
        <f aca="false">IF(C402="","",IF(COUNTIF(ตั้งค่า!$A$7:$A$18,C402)&gt;0,"รายรับ",IF(COUNTIF(ตั้งค่า!$C$7:$C$31,C402)&gt;0,"รายจ่าย","ไม่พบหมวดหมู่")))</f>
        <v/>
      </c>
      <c r="E402" s="25"/>
      <c r="F402" s="24"/>
      <c r="G402" s="24"/>
      <c r="H402" s="21" t="n">
        <f aca="false">IF(OR(E402="",D402&lt;&gt;"รายรับ"),0,E402)</f>
        <v>0</v>
      </c>
      <c r="I402" s="21" t="n">
        <f aca="false">IF(OR(E402="",D402&lt;&gt;"รายจ่าย"),0,E402)</f>
        <v>0</v>
      </c>
      <c r="J402" s="21" t="str">
        <f aca="false">IF(E402="","",ตั้งค่า!$B$4+SUM($H$5:H402)-SUM($I$5:I402))</f>
        <v/>
      </c>
      <c r="K402" s="22" t="str">
        <f aca="false">IF(A402="","",MONTH(A402))</f>
        <v/>
      </c>
      <c r="L402" s="22" t="str">
        <f aca="false">IF(A402="","",YEAR(A402))</f>
        <v/>
      </c>
    </row>
    <row r="403" customFormat="false" ht="15" hidden="false" customHeight="false" outlineLevel="0" collapsed="false">
      <c r="A403" s="23"/>
      <c r="B403" s="24"/>
      <c r="C403" s="24"/>
      <c r="D403" s="20" t="str">
        <f aca="false">IF(C403="","",IF(COUNTIF(ตั้งค่า!$A$7:$A$18,C403)&gt;0,"รายรับ",IF(COUNTIF(ตั้งค่า!$C$7:$C$31,C403)&gt;0,"รายจ่าย","ไม่พบหมวดหมู่")))</f>
        <v/>
      </c>
      <c r="E403" s="25"/>
      <c r="F403" s="24"/>
      <c r="G403" s="24"/>
      <c r="H403" s="21" t="n">
        <f aca="false">IF(OR(E403="",D403&lt;&gt;"รายรับ"),0,E403)</f>
        <v>0</v>
      </c>
      <c r="I403" s="21" t="n">
        <f aca="false">IF(OR(E403="",D403&lt;&gt;"รายจ่าย"),0,E403)</f>
        <v>0</v>
      </c>
      <c r="J403" s="21" t="str">
        <f aca="false">IF(E403="","",ตั้งค่า!$B$4+SUM($H$5:H403)-SUM($I$5:I403))</f>
        <v/>
      </c>
      <c r="K403" s="22" t="str">
        <f aca="false">IF(A403="","",MONTH(A403))</f>
        <v/>
      </c>
      <c r="L403" s="22" t="str">
        <f aca="false">IF(A403="","",YEAR(A403))</f>
        <v/>
      </c>
    </row>
    <row r="404" customFormat="false" ht="15" hidden="false" customHeight="false" outlineLevel="0" collapsed="false">
      <c r="A404" s="23"/>
      <c r="B404" s="24"/>
      <c r="C404" s="24"/>
      <c r="D404" s="20" t="str">
        <f aca="false">IF(C404="","",IF(COUNTIF(ตั้งค่า!$A$7:$A$18,C404)&gt;0,"รายรับ",IF(COUNTIF(ตั้งค่า!$C$7:$C$31,C404)&gt;0,"รายจ่าย","ไม่พบหมวดหมู่")))</f>
        <v/>
      </c>
      <c r="E404" s="25"/>
      <c r="F404" s="24"/>
      <c r="G404" s="24"/>
      <c r="H404" s="21" t="n">
        <f aca="false">IF(OR(E404="",D404&lt;&gt;"รายรับ"),0,E404)</f>
        <v>0</v>
      </c>
      <c r="I404" s="21" t="n">
        <f aca="false">IF(OR(E404="",D404&lt;&gt;"รายจ่าย"),0,E404)</f>
        <v>0</v>
      </c>
      <c r="J404" s="21" t="str">
        <f aca="false">IF(E404="","",ตั้งค่า!$B$4+SUM($H$5:H404)-SUM($I$5:I404))</f>
        <v/>
      </c>
      <c r="K404" s="22" t="str">
        <f aca="false">IF(A404="","",MONTH(A404))</f>
        <v/>
      </c>
      <c r="L404" s="22" t="str">
        <f aca="false">IF(A404="","",YEAR(A404))</f>
        <v/>
      </c>
    </row>
    <row r="405" customFormat="false" ht="15" hidden="false" customHeight="false" outlineLevel="0" collapsed="false">
      <c r="A405" s="23"/>
      <c r="B405" s="24"/>
      <c r="C405" s="24"/>
      <c r="D405" s="20" t="str">
        <f aca="false">IF(C405="","",IF(COUNTIF(ตั้งค่า!$A$7:$A$18,C405)&gt;0,"รายรับ",IF(COUNTIF(ตั้งค่า!$C$7:$C$31,C405)&gt;0,"รายจ่าย","ไม่พบหมวดหมู่")))</f>
        <v/>
      </c>
      <c r="E405" s="25"/>
      <c r="F405" s="24"/>
      <c r="G405" s="24"/>
      <c r="H405" s="21" t="n">
        <f aca="false">IF(OR(E405="",D405&lt;&gt;"รายรับ"),0,E405)</f>
        <v>0</v>
      </c>
      <c r="I405" s="21" t="n">
        <f aca="false">IF(OR(E405="",D405&lt;&gt;"รายจ่าย"),0,E405)</f>
        <v>0</v>
      </c>
      <c r="J405" s="21" t="str">
        <f aca="false">IF(E405="","",ตั้งค่า!$B$4+SUM($H$5:H405)-SUM($I$5:I405))</f>
        <v/>
      </c>
      <c r="K405" s="22" t="str">
        <f aca="false">IF(A405="","",MONTH(A405))</f>
        <v/>
      </c>
      <c r="L405" s="22" t="str">
        <f aca="false">IF(A405="","",YEAR(A405))</f>
        <v/>
      </c>
    </row>
    <row r="406" customFormat="false" ht="15" hidden="false" customHeight="false" outlineLevel="0" collapsed="false">
      <c r="A406" s="23"/>
      <c r="B406" s="24"/>
      <c r="C406" s="24"/>
      <c r="D406" s="20" t="str">
        <f aca="false">IF(C406="","",IF(COUNTIF(ตั้งค่า!$A$7:$A$18,C406)&gt;0,"รายรับ",IF(COUNTIF(ตั้งค่า!$C$7:$C$31,C406)&gt;0,"รายจ่าย","ไม่พบหมวดหมู่")))</f>
        <v/>
      </c>
      <c r="E406" s="25"/>
      <c r="F406" s="24"/>
      <c r="G406" s="24"/>
      <c r="H406" s="21" t="n">
        <f aca="false">IF(OR(E406="",D406&lt;&gt;"รายรับ"),0,E406)</f>
        <v>0</v>
      </c>
      <c r="I406" s="21" t="n">
        <f aca="false">IF(OR(E406="",D406&lt;&gt;"รายจ่าย"),0,E406)</f>
        <v>0</v>
      </c>
      <c r="J406" s="21" t="str">
        <f aca="false">IF(E406="","",ตั้งค่า!$B$4+SUM($H$5:H406)-SUM($I$5:I406))</f>
        <v/>
      </c>
      <c r="K406" s="22" t="str">
        <f aca="false">IF(A406="","",MONTH(A406))</f>
        <v/>
      </c>
      <c r="L406" s="22" t="str">
        <f aca="false">IF(A406="","",YEAR(A406))</f>
        <v/>
      </c>
    </row>
    <row r="407" customFormat="false" ht="15" hidden="false" customHeight="false" outlineLevel="0" collapsed="false">
      <c r="A407" s="23"/>
      <c r="B407" s="24"/>
      <c r="C407" s="24"/>
      <c r="D407" s="20" t="str">
        <f aca="false">IF(C407="","",IF(COUNTIF(ตั้งค่า!$A$7:$A$18,C407)&gt;0,"รายรับ",IF(COUNTIF(ตั้งค่า!$C$7:$C$31,C407)&gt;0,"รายจ่าย","ไม่พบหมวดหมู่")))</f>
        <v/>
      </c>
      <c r="E407" s="25"/>
      <c r="F407" s="24"/>
      <c r="G407" s="24"/>
      <c r="H407" s="21" t="n">
        <f aca="false">IF(OR(E407="",D407&lt;&gt;"รายรับ"),0,E407)</f>
        <v>0</v>
      </c>
      <c r="I407" s="21" t="n">
        <f aca="false">IF(OR(E407="",D407&lt;&gt;"รายจ่าย"),0,E407)</f>
        <v>0</v>
      </c>
      <c r="J407" s="21" t="str">
        <f aca="false">IF(E407="","",ตั้งค่า!$B$4+SUM($H$5:H407)-SUM($I$5:I407))</f>
        <v/>
      </c>
      <c r="K407" s="22" t="str">
        <f aca="false">IF(A407="","",MONTH(A407))</f>
        <v/>
      </c>
      <c r="L407" s="22" t="str">
        <f aca="false">IF(A407="","",YEAR(A407))</f>
        <v/>
      </c>
    </row>
    <row r="408" customFormat="false" ht="15" hidden="false" customHeight="false" outlineLevel="0" collapsed="false">
      <c r="A408" s="23"/>
      <c r="B408" s="24"/>
      <c r="C408" s="24"/>
      <c r="D408" s="20" t="str">
        <f aca="false">IF(C408="","",IF(COUNTIF(ตั้งค่า!$A$7:$A$18,C408)&gt;0,"รายรับ",IF(COUNTIF(ตั้งค่า!$C$7:$C$31,C408)&gt;0,"รายจ่าย","ไม่พบหมวดหมู่")))</f>
        <v/>
      </c>
      <c r="E408" s="25"/>
      <c r="F408" s="24"/>
      <c r="G408" s="24"/>
      <c r="H408" s="21" t="n">
        <f aca="false">IF(OR(E408="",D408&lt;&gt;"รายรับ"),0,E408)</f>
        <v>0</v>
      </c>
      <c r="I408" s="21" t="n">
        <f aca="false">IF(OR(E408="",D408&lt;&gt;"รายจ่าย"),0,E408)</f>
        <v>0</v>
      </c>
      <c r="J408" s="21" t="str">
        <f aca="false">IF(E408="","",ตั้งค่า!$B$4+SUM($H$5:H408)-SUM($I$5:I408))</f>
        <v/>
      </c>
      <c r="K408" s="22" t="str">
        <f aca="false">IF(A408="","",MONTH(A408))</f>
        <v/>
      </c>
      <c r="L408" s="22" t="str">
        <f aca="false">IF(A408="","",YEAR(A408))</f>
        <v/>
      </c>
    </row>
    <row r="409" customFormat="false" ht="15" hidden="false" customHeight="false" outlineLevel="0" collapsed="false">
      <c r="A409" s="23"/>
      <c r="B409" s="24"/>
      <c r="C409" s="24"/>
      <c r="D409" s="20" t="str">
        <f aca="false">IF(C409="","",IF(COUNTIF(ตั้งค่า!$A$7:$A$18,C409)&gt;0,"รายรับ",IF(COUNTIF(ตั้งค่า!$C$7:$C$31,C409)&gt;0,"รายจ่าย","ไม่พบหมวดหมู่")))</f>
        <v/>
      </c>
      <c r="E409" s="25"/>
      <c r="F409" s="24"/>
      <c r="G409" s="24"/>
      <c r="H409" s="21" t="n">
        <f aca="false">IF(OR(E409="",D409&lt;&gt;"รายรับ"),0,E409)</f>
        <v>0</v>
      </c>
      <c r="I409" s="21" t="n">
        <f aca="false">IF(OR(E409="",D409&lt;&gt;"รายจ่าย"),0,E409)</f>
        <v>0</v>
      </c>
      <c r="J409" s="21" t="str">
        <f aca="false">IF(E409="","",ตั้งค่า!$B$4+SUM($H$5:H409)-SUM($I$5:I409))</f>
        <v/>
      </c>
      <c r="K409" s="22" t="str">
        <f aca="false">IF(A409="","",MONTH(A409))</f>
        <v/>
      </c>
      <c r="L409" s="22" t="str">
        <f aca="false">IF(A409="","",YEAR(A409))</f>
        <v/>
      </c>
    </row>
    <row r="410" customFormat="false" ht="15" hidden="false" customHeight="false" outlineLevel="0" collapsed="false">
      <c r="A410" s="23"/>
      <c r="B410" s="24"/>
      <c r="C410" s="24"/>
      <c r="D410" s="20" t="str">
        <f aca="false">IF(C410="","",IF(COUNTIF(ตั้งค่า!$A$7:$A$18,C410)&gt;0,"รายรับ",IF(COUNTIF(ตั้งค่า!$C$7:$C$31,C410)&gt;0,"รายจ่าย","ไม่พบหมวดหมู่")))</f>
        <v/>
      </c>
      <c r="E410" s="25"/>
      <c r="F410" s="24"/>
      <c r="G410" s="24"/>
      <c r="H410" s="21" t="n">
        <f aca="false">IF(OR(E410="",D410&lt;&gt;"รายรับ"),0,E410)</f>
        <v>0</v>
      </c>
      <c r="I410" s="21" t="n">
        <f aca="false">IF(OR(E410="",D410&lt;&gt;"รายจ่าย"),0,E410)</f>
        <v>0</v>
      </c>
      <c r="J410" s="21" t="str">
        <f aca="false">IF(E410="","",ตั้งค่า!$B$4+SUM($H$5:H410)-SUM($I$5:I410))</f>
        <v/>
      </c>
      <c r="K410" s="22" t="str">
        <f aca="false">IF(A410="","",MONTH(A410))</f>
        <v/>
      </c>
      <c r="L410" s="22" t="str">
        <f aca="false">IF(A410="","",YEAR(A410))</f>
        <v/>
      </c>
    </row>
    <row r="411" customFormat="false" ht="15" hidden="false" customHeight="false" outlineLevel="0" collapsed="false">
      <c r="A411" s="23"/>
      <c r="B411" s="24"/>
      <c r="C411" s="24"/>
      <c r="D411" s="20" t="str">
        <f aca="false">IF(C411="","",IF(COUNTIF(ตั้งค่า!$A$7:$A$18,C411)&gt;0,"รายรับ",IF(COUNTIF(ตั้งค่า!$C$7:$C$31,C411)&gt;0,"รายจ่าย","ไม่พบหมวดหมู่")))</f>
        <v/>
      </c>
      <c r="E411" s="25"/>
      <c r="F411" s="24"/>
      <c r="G411" s="24"/>
      <c r="H411" s="21" t="n">
        <f aca="false">IF(OR(E411="",D411&lt;&gt;"รายรับ"),0,E411)</f>
        <v>0</v>
      </c>
      <c r="I411" s="21" t="n">
        <f aca="false">IF(OR(E411="",D411&lt;&gt;"รายจ่าย"),0,E411)</f>
        <v>0</v>
      </c>
      <c r="J411" s="21" t="str">
        <f aca="false">IF(E411="","",ตั้งค่า!$B$4+SUM($H$5:H411)-SUM($I$5:I411))</f>
        <v/>
      </c>
      <c r="K411" s="22" t="str">
        <f aca="false">IF(A411="","",MONTH(A411))</f>
        <v/>
      </c>
      <c r="L411" s="22" t="str">
        <f aca="false">IF(A411="","",YEAR(A411))</f>
        <v/>
      </c>
    </row>
    <row r="412" customFormat="false" ht="15" hidden="false" customHeight="false" outlineLevel="0" collapsed="false">
      <c r="A412" s="23"/>
      <c r="B412" s="24"/>
      <c r="C412" s="24"/>
      <c r="D412" s="20" t="str">
        <f aca="false">IF(C412="","",IF(COUNTIF(ตั้งค่า!$A$7:$A$18,C412)&gt;0,"รายรับ",IF(COUNTIF(ตั้งค่า!$C$7:$C$31,C412)&gt;0,"รายจ่าย","ไม่พบหมวดหมู่")))</f>
        <v/>
      </c>
      <c r="E412" s="25"/>
      <c r="F412" s="24"/>
      <c r="G412" s="24"/>
      <c r="H412" s="21" t="n">
        <f aca="false">IF(OR(E412="",D412&lt;&gt;"รายรับ"),0,E412)</f>
        <v>0</v>
      </c>
      <c r="I412" s="21" t="n">
        <f aca="false">IF(OR(E412="",D412&lt;&gt;"รายจ่าย"),0,E412)</f>
        <v>0</v>
      </c>
      <c r="J412" s="21" t="str">
        <f aca="false">IF(E412="","",ตั้งค่า!$B$4+SUM($H$5:H412)-SUM($I$5:I412))</f>
        <v/>
      </c>
      <c r="K412" s="22" t="str">
        <f aca="false">IF(A412="","",MONTH(A412))</f>
        <v/>
      </c>
      <c r="L412" s="22" t="str">
        <f aca="false">IF(A412="","",YEAR(A412))</f>
        <v/>
      </c>
    </row>
    <row r="413" customFormat="false" ht="15" hidden="false" customHeight="false" outlineLevel="0" collapsed="false">
      <c r="A413" s="23"/>
      <c r="B413" s="24"/>
      <c r="C413" s="24"/>
      <c r="D413" s="20" t="str">
        <f aca="false">IF(C413="","",IF(COUNTIF(ตั้งค่า!$A$7:$A$18,C413)&gt;0,"รายรับ",IF(COUNTIF(ตั้งค่า!$C$7:$C$31,C413)&gt;0,"รายจ่าย","ไม่พบหมวดหมู่")))</f>
        <v/>
      </c>
      <c r="E413" s="25"/>
      <c r="F413" s="24"/>
      <c r="G413" s="24"/>
      <c r="H413" s="21" t="n">
        <f aca="false">IF(OR(E413="",D413&lt;&gt;"รายรับ"),0,E413)</f>
        <v>0</v>
      </c>
      <c r="I413" s="21" t="n">
        <f aca="false">IF(OR(E413="",D413&lt;&gt;"รายจ่าย"),0,E413)</f>
        <v>0</v>
      </c>
      <c r="J413" s="21" t="str">
        <f aca="false">IF(E413="","",ตั้งค่า!$B$4+SUM($H$5:H413)-SUM($I$5:I413))</f>
        <v/>
      </c>
      <c r="K413" s="22" t="str">
        <f aca="false">IF(A413="","",MONTH(A413))</f>
        <v/>
      </c>
      <c r="L413" s="22" t="str">
        <f aca="false">IF(A413="","",YEAR(A413))</f>
        <v/>
      </c>
    </row>
    <row r="414" customFormat="false" ht="15" hidden="false" customHeight="false" outlineLevel="0" collapsed="false">
      <c r="A414" s="23"/>
      <c r="B414" s="24"/>
      <c r="C414" s="24"/>
      <c r="D414" s="20" t="str">
        <f aca="false">IF(C414="","",IF(COUNTIF(ตั้งค่า!$A$7:$A$18,C414)&gt;0,"รายรับ",IF(COUNTIF(ตั้งค่า!$C$7:$C$31,C414)&gt;0,"รายจ่าย","ไม่พบหมวดหมู่")))</f>
        <v/>
      </c>
      <c r="E414" s="25"/>
      <c r="F414" s="24"/>
      <c r="G414" s="24"/>
      <c r="H414" s="21" t="n">
        <f aca="false">IF(OR(E414="",D414&lt;&gt;"รายรับ"),0,E414)</f>
        <v>0</v>
      </c>
      <c r="I414" s="21" t="n">
        <f aca="false">IF(OR(E414="",D414&lt;&gt;"รายจ่าย"),0,E414)</f>
        <v>0</v>
      </c>
      <c r="J414" s="21" t="str">
        <f aca="false">IF(E414="","",ตั้งค่า!$B$4+SUM($H$5:H414)-SUM($I$5:I414))</f>
        <v/>
      </c>
      <c r="K414" s="22" t="str">
        <f aca="false">IF(A414="","",MONTH(A414))</f>
        <v/>
      </c>
      <c r="L414" s="22" t="str">
        <f aca="false">IF(A414="","",YEAR(A414))</f>
        <v/>
      </c>
    </row>
    <row r="415" customFormat="false" ht="15" hidden="false" customHeight="false" outlineLevel="0" collapsed="false">
      <c r="A415" s="23"/>
      <c r="B415" s="24"/>
      <c r="C415" s="24"/>
      <c r="D415" s="20" t="str">
        <f aca="false">IF(C415="","",IF(COUNTIF(ตั้งค่า!$A$7:$A$18,C415)&gt;0,"รายรับ",IF(COUNTIF(ตั้งค่า!$C$7:$C$31,C415)&gt;0,"รายจ่าย","ไม่พบหมวดหมู่")))</f>
        <v/>
      </c>
      <c r="E415" s="25"/>
      <c r="F415" s="24"/>
      <c r="G415" s="24"/>
      <c r="H415" s="21" t="n">
        <f aca="false">IF(OR(E415="",D415&lt;&gt;"รายรับ"),0,E415)</f>
        <v>0</v>
      </c>
      <c r="I415" s="21" t="n">
        <f aca="false">IF(OR(E415="",D415&lt;&gt;"รายจ่าย"),0,E415)</f>
        <v>0</v>
      </c>
      <c r="J415" s="21" t="str">
        <f aca="false">IF(E415="","",ตั้งค่า!$B$4+SUM($H$5:H415)-SUM($I$5:I415))</f>
        <v/>
      </c>
      <c r="K415" s="22" t="str">
        <f aca="false">IF(A415="","",MONTH(A415))</f>
        <v/>
      </c>
      <c r="L415" s="22" t="str">
        <f aca="false">IF(A415="","",YEAR(A415))</f>
        <v/>
      </c>
    </row>
    <row r="416" customFormat="false" ht="15" hidden="false" customHeight="false" outlineLevel="0" collapsed="false">
      <c r="A416" s="23"/>
      <c r="B416" s="24"/>
      <c r="C416" s="24"/>
      <c r="D416" s="20" t="str">
        <f aca="false">IF(C416="","",IF(COUNTIF(ตั้งค่า!$A$7:$A$18,C416)&gt;0,"รายรับ",IF(COUNTIF(ตั้งค่า!$C$7:$C$31,C416)&gt;0,"รายจ่าย","ไม่พบหมวดหมู่")))</f>
        <v/>
      </c>
      <c r="E416" s="25"/>
      <c r="F416" s="24"/>
      <c r="G416" s="24"/>
      <c r="H416" s="21" t="n">
        <f aca="false">IF(OR(E416="",D416&lt;&gt;"รายรับ"),0,E416)</f>
        <v>0</v>
      </c>
      <c r="I416" s="21" t="n">
        <f aca="false">IF(OR(E416="",D416&lt;&gt;"รายจ่าย"),0,E416)</f>
        <v>0</v>
      </c>
      <c r="J416" s="21" t="str">
        <f aca="false">IF(E416="","",ตั้งค่า!$B$4+SUM($H$5:H416)-SUM($I$5:I416))</f>
        <v/>
      </c>
      <c r="K416" s="22" t="str">
        <f aca="false">IF(A416="","",MONTH(A416))</f>
        <v/>
      </c>
      <c r="L416" s="22" t="str">
        <f aca="false">IF(A416="","",YEAR(A416))</f>
        <v/>
      </c>
    </row>
    <row r="417" customFormat="false" ht="15" hidden="false" customHeight="false" outlineLevel="0" collapsed="false">
      <c r="A417" s="23"/>
      <c r="B417" s="24"/>
      <c r="C417" s="24"/>
      <c r="D417" s="20" t="str">
        <f aca="false">IF(C417="","",IF(COUNTIF(ตั้งค่า!$A$7:$A$18,C417)&gt;0,"รายรับ",IF(COUNTIF(ตั้งค่า!$C$7:$C$31,C417)&gt;0,"รายจ่าย","ไม่พบหมวดหมู่")))</f>
        <v/>
      </c>
      <c r="E417" s="25"/>
      <c r="F417" s="24"/>
      <c r="G417" s="24"/>
      <c r="H417" s="21" t="n">
        <f aca="false">IF(OR(E417="",D417&lt;&gt;"รายรับ"),0,E417)</f>
        <v>0</v>
      </c>
      <c r="I417" s="21" t="n">
        <f aca="false">IF(OR(E417="",D417&lt;&gt;"รายจ่าย"),0,E417)</f>
        <v>0</v>
      </c>
      <c r="J417" s="21" t="str">
        <f aca="false">IF(E417="","",ตั้งค่า!$B$4+SUM($H$5:H417)-SUM($I$5:I417))</f>
        <v/>
      </c>
      <c r="K417" s="22" t="str">
        <f aca="false">IF(A417="","",MONTH(A417))</f>
        <v/>
      </c>
      <c r="L417" s="22" t="str">
        <f aca="false">IF(A417="","",YEAR(A417))</f>
        <v/>
      </c>
    </row>
    <row r="418" customFormat="false" ht="15" hidden="false" customHeight="false" outlineLevel="0" collapsed="false">
      <c r="A418" s="23"/>
      <c r="B418" s="24"/>
      <c r="C418" s="24"/>
      <c r="D418" s="20" t="str">
        <f aca="false">IF(C418="","",IF(COUNTIF(ตั้งค่า!$A$7:$A$18,C418)&gt;0,"รายรับ",IF(COUNTIF(ตั้งค่า!$C$7:$C$31,C418)&gt;0,"รายจ่าย","ไม่พบหมวดหมู่")))</f>
        <v/>
      </c>
      <c r="E418" s="25"/>
      <c r="F418" s="24"/>
      <c r="G418" s="24"/>
      <c r="H418" s="21" t="n">
        <f aca="false">IF(OR(E418="",D418&lt;&gt;"รายรับ"),0,E418)</f>
        <v>0</v>
      </c>
      <c r="I418" s="21" t="n">
        <f aca="false">IF(OR(E418="",D418&lt;&gt;"รายจ่าย"),0,E418)</f>
        <v>0</v>
      </c>
      <c r="J418" s="21" t="str">
        <f aca="false">IF(E418="","",ตั้งค่า!$B$4+SUM($H$5:H418)-SUM($I$5:I418))</f>
        <v/>
      </c>
      <c r="K418" s="22" t="str">
        <f aca="false">IF(A418="","",MONTH(A418))</f>
        <v/>
      </c>
      <c r="L418" s="22" t="str">
        <f aca="false">IF(A418="","",YEAR(A418))</f>
        <v/>
      </c>
    </row>
    <row r="419" customFormat="false" ht="15" hidden="false" customHeight="false" outlineLevel="0" collapsed="false">
      <c r="A419" s="23"/>
      <c r="B419" s="24"/>
      <c r="C419" s="24"/>
      <c r="D419" s="20" t="str">
        <f aca="false">IF(C419="","",IF(COUNTIF(ตั้งค่า!$A$7:$A$18,C419)&gt;0,"รายรับ",IF(COUNTIF(ตั้งค่า!$C$7:$C$31,C419)&gt;0,"รายจ่าย","ไม่พบหมวดหมู่")))</f>
        <v/>
      </c>
      <c r="E419" s="25"/>
      <c r="F419" s="24"/>
      <c r="G419" s="24"/>
      <c r="H419" s="21" t="n">
        <f aca="false">IF(OR(E419="",D419&lt;&gt;"รายรับ"),0,E419)</f>
        <v>0</v>
      </c>
      <c r="I419" s="21" t="n">
        <f aca="false">IF(OR(E419="",D419&lt;&gt;"รายจ่าย"),0,E419)</f>
        <v>0</v>
      </c>
      <c r="J419" s="21" t="str">
        <f aca="false">IF(E419="","",ตั้งค่า!$B$4+SUM($H$5:H419)-SUM($I$5:I419))</f>
        <v/>
      </c>
      <c r="K419" s="22" t="str">
        <f aca="false">IF(A419="","",MONTH(A419))</f>
        <v/>
      </c>
      <c r="L419" s="22" t="str">
        <f aca="false">IF(A419="","",YEAR(A419))</f>
        <v/>
      </c>
    </row>
    <row r="420" customFormat="false" ht="15" hidden="false" customHeight="false" outlineLevel="0" collapsed="false">
      <c r="A420" s="23"/>
      <c r="B420" s="24"/>
      <c r="C420" s="24"/>
      <c r="D420" s="20" t="str">
        <f aca="false">IF(C420="","",IF(COUNTIF(ตั้งค่า!$A$7:$A$18,C420)&gt;0,"รายรับ",IF(COUNTIF(ตั้งค่า!$C$7:$C$31,C420)&gt;0,"รายจ่าย","ไม่พบหมวดหมู่")))</f>
        <v/>
      </c>
      <c r="E420" s="25"/>
      <c r="F420" s="24"/>
      <c r="G420" s="24"/>
      <c r="H420" s="21" t="n">
        <f aca="false">IF(OR(E420="",D420&lt;&gt;"รายรับ"),0,E420)</f>
        <v>0</v>
      </c>
      <c r="I420" s="21" t="n">
        <f aca="false">IF(OR(E420="",D420&lt;&gt;"รายจ่าย"),0,E420)</f>
        <v>0</v>
      </c>
      <c r="J420" s="21" t="str">
        <f aca="false">IF(E420="","",ตั้งค่า!$B$4+SUM($H$5:H420)-SUM($I$5:I420))</f>
        <v/>
      </c>
      <c r="K420" s="22" t="str">
        <f aca="false">IF(A420="","",MONTH(A420))</f>
        <v/>
      </c>
      <c r="L420" s="22" t="str">
        <f aca="false">IF(A420="","",YEAR(A420))</f>
        <v/>
      </c>
    </row>
    <row r="421" customFormat="false" ht="15" hidden="false" customHeight="false" outlineLevel="0" collapsed="false">
      <c r="A421" s="23"/>
      <c r="B421" s="24"/>
      <c r="C421" s="24"/>
      <c r="D421" s="20" t="str">
        <f aca="false">IF(C421="","",IF(COUNTIF(ตั้งค่า!$A$7:$A$18,C421)&gt;0,"รายรับ",IF(COUNTIF(ตั้งค่า!$C$7:$C$31,C421)&gt;0,"รายจ่าย","ไม่พบหมวดหมู่")))</f>
        <v/>
      </c>
      <c r="E421" s="25"/>
      <c r="F421" s="24"/>
      <c r="G421" s="24"/>
      <c r="H421" s="21" t="n">
        <f aca="false">IF(OR(E421="",D421&lt;&gt;"รายรับ"),0,E421)</f>
        <v>0</v>
      </c>
      <c r="I421" s="21" t="n">
        <f aca="false">IF(OR(E421="",D421&lt;&gt;"รายจ่าย"),0,E421)</f>
        <v>0</v>
      </c>
      <c r="J421" s="21" t="str">
        <f aca="false">IF(E421="","",ตั้งค่า!$B$4+SUM($H$5:H421)-SUM($I$5:I421))</f>
        <v/>
      </c>
      <c r="K421" s="22" t="str">
        <f aca="false">IF(A421="","",MONTH(A421))</f>
        <v/>
      </c>
      <c r="L421" s="22" t="str">
        <f aca="false">IF(A421="","",YEAR(A421))</f>
        <v/>
      </c>
    </row>
    <row r="422" customFormat="false" ht="15" hidden="false" customHeight="false" outlineLevel="0" collapsed="false">
      <c r="A422" s="23"/>
      <c r="B422" s="24"/>
      <c r="C422" s="24"/>
      <c r="D422" s="20" t="str">
        <f aca="false">IF(C422="","",IF(COUNTIF(ตั้งค่า!$A$7:$A$18,C422)&gt;0,"รายรับ",IF(COUNTIF(ตั้งค่า!$C$7:$C$31,C422)&gt;0,"รายจ่าย","ไม่พบหมวดหมู่")))</f>
        <v/>
      </c>
      <c r="E422" s="25"/>
      <c r="F422" s="24"/>
      <c r="G422" s="24"/>
      <c r="H422" s="21" t="n">
        <f aca="false">IF(OR(E422="",D422&lt;&gt;"รายรับ"),0,E422)</f>
        <v>0</v>
      </c>
      <c r="I422" s="21" t="n">
        <f aca="false">IF(OR(E422="",D422&lt;&gt;"รายจ่าย"),0,E422)</f>
        <v>0</v>
      </c>
      <c r="J422" s="21" t="str">
        <f aca="false">IF(E422="","",ตั้งค่า!$B$4+SUM($H$5:H422)-SUM($I$5:I422))</f>
        <v/>
      </c>
      <c r="K422" s="22" t="str">
        <f aca="false">IF(A422="","",MONTH(A422))</f>
        <v/>
      </c>
      <c r="L422" s="22" t="str">
        <f aca="false">IF(A422="","",YEAR(A422))</f>
        <v/>
      </c>
    </row>
    <row r="423" customFormat="false" ht="15" hidden="false" customHeight="false" outlineLevel="0" collapsed="false">
      <c r="A423" s="23"/>
      <c r="B423" s="24"/>
      <c r="C423" s="24"/>
      <c r="D423" s="20" t="str">
        <f aca="false">IF(C423="","",IF(COUNTIF(ตั้งค่า!$A$7:$A$18,C423)&gt;0,"รายรับ",IF(COUNTIF(ตั้งค่า!$C$7:$C$31,C423)&gt;0,"รายจ่าย","ไม่พบหมวดหมู่")))</f>
        <v/>
      </c>
      <c r="E423" s="25"/>
      <c r="F423" s="24"/>
      <c r="G423" s="24"/>
      <c r="H423" s="21" t="n">
        <f aca="false">IF(OR(E423="",D423&lt;&gt;"รายรับ"),0,E423)</f>
        <v>0</v>
      </c>
      <c r="I423" s="21" t="n">
        <f aca="false">IF(OR(E423="",D423&lt;&gt;"รายจ่าย"),0,E423)</f>
        <v>0</v>
      </c>
      <c r="J423" s="21" t="str">
        <f aca="false">IF(E423="","",ตั้งค่า!$B$4+SUM($H$5:H423)-SUM($I$5:I423))</f>
        <v/>
      </c>
      <c r="K423" s="22" t="str">
        <f aca="false">IF(A423="","",MONTH(A423))</f>
        <v/>
      </c>
      <c r="L423" s="22" t="str">
        <f aca="false">IF(A423="","",YEAR(A423))</f>
        <v/>
      </c>
    </row>
    <row r="424" customFormat="false" ht="15" hidden="false" customHeight="false" outlineLevel="0" collapsed="false">
      <c r="A424" s="23"/>
      <c r="B424" s="24"/>
      <c r="C424" s="24"/>
      <c r="D424" s="20" t="str">
        <f aca="false">IF(C424="","",IF(COUNTIF(ตั้งค่า!$A$7:$A$18,C424)&gt;0,"รายรับ",IF(COUNTIF(ตั้งค่า!$C$7:$C$31,C424)&gt;0,"รายจ่าย","ไม่พบหมวดหมู่")))</f>
        <v/>
      </c>
      <c r="E424" s="25"/>
      <c r="F424" s="24"/>
      <c r="G424" s="24"/>
      <c r="H424" s="21" t="n">
        <f aca="false">IF(OR(E424="",D424&lt;&gt;"รายรับ"),0,E424)</f>
        <v>0</v>
      </c>
      <c r="I424" s="21" t="n">
        <f aca="false">IF(OR(E424="",D424&lt;&gt;"รายจ่าย"),0,E424)</f>
        <v>0</v>
      </c>
      <c r="J424" s="21" t="str">
        <f aca="false">IF(E424="","",ตั้งค่า!$B$4+SUM($H$5:H424)-SUM($I$5:I424))</f>
        <v/>
      </c>
      <c r="K424" s="22" t="str">
        <f aca="false">IF(A424="","",MONTH(A424))</f>
        <v/>
      </c>
      <c r="L424" s="22" t="str">
        <f aca="false">IF(A424="","",YEAR(A424))</f>
        <v/>
      </c>
    </row>
    <row r="425" customFormat="false" ht="15" hidden="false" customHeight="false" outlineLevel="0" collapsed="false">
      <c r="A425" s="23"/>
      <c r="B425" s="24"/>
      <c r="C425" s="24"/>
      <c r="D425" s="20" t="str">
        <f aca="false">IF(C425="","",IF(COUNTIF(ตั้งค่า!$A$7:$A$18,C425)&gt;0,"รายรับ",IF(COUNTIF(ตั้งค่า!$C$7:$C$31,C425)&gt;0,"รายจ่าย","ไม่พบหมวดหมู่")))</f>
        <v/>
      </c>
      <c r="E425" s="25"/>
      <c r="F425" s="24"/>
      <c r="G425" s="24"/>
      <c r="H425" s="21" t="n">
        <f aca="false">IF(OR(E425="",D425&lt;&gt;"รายรับ"),0,E425)</f>
        <v>0</v>
      </c>
      <c r="I425" s="21" t="n">
        <f aca="false">IF(OR(E425="",D425&lt;&gt;"รายจ่าย"),0,E425)</f>
        <v>0</v>
      </c>
      <c r="J425" s="21" t="str">
        <f aca="false">IF(E425="","",ตั้งค่า!$B$4+SUM($H$5:H425)-SUM($I$5:I425))</f>
        <v/>
      </c>
      <c r="K425" s="22" t="str">
        <f aca="false">IF(A425="","",MONTH(A425))</f>
        <v/>
      </c>
      <c r="L425" s="22" t="str">
        <f aca="false">IF(A425="","",YEAR(A425))</f>
        <v/>
      </c>
    </row>
    <row r="426" customFormat="false" ht="15" hidden="false" customHeight="false" outlineLevel="0" collapsed="false">
      <c r="A426" s="23"/>
      <c r="B426" s="24"/>
      <c r="C426" s="24"/>
      <c r="D426" s="20" t="str">
        <f aca="false">IF(C426="","",IF(COUNTIF(ตั้งค่า!$A$7:$A$18,C426)&gt;0,"รายรับ",IF(COUNTIF(ตั้งค่า!$C$7:$C$31,C426)&gt;0,"รายจ่าย","ไม่พบหมวดหมู่")))</f>
        <v/>
      </c>
      <c r="E426" s="25"/>
      <c r="F426" s="24"/>
      <c r="G426" s="24"/>
      <c r="H426" s="21" t="n">
        <f aca="false">IF(OR(E426="",D426&lt;&gt;"รายรับ"),0,E426)</f>
        <v>0</v>
      </c>
      <c r="I426" s="21" t="n">
        <f aca="false">IF(OR(E426="",D426&lt;&gt;"รายจ่าย"),0,E426)</f>
        <v>0</v>
      </c>
      <c r="J426" s="21" t="str">
        <f aca="false">IF(E426="","",ตั้งค่า!$B$4+SUM($H$5:H426)-SUM($I$5:I426))</f>
        <v/>
      </c>
      <c r="K426" s="22" t="str">
        <f aca="false">IF(A426="","",MONTH(A426))</f>
        <v/>
      </c>
      <c r="L426" s="22" t="str">
        <f aca="false">IF(A426="","",YEAR(A426))</f>
        <v/>
      </c>
    </row>
    <row r="427" customFormat="false" ht="15" hidden="false" customHeight="false" outlineLevel="0" collapsed="false">
      <c r="A427" s="23"/>
      <c r="B427" s="24"/>
      <c r="C427" s="24"/>
      <c r="D427" s="20" t="str">
        <f aca="false">IF(C427="","",IF(COUNTIF(ตั้งค่า!$A$7:$A$18,C427)&gt;0,"รายรับ",IF(COUNTIF(ตั้งค่า!$C$7:$C$31,C427)&gt;0,"รายจ่าย","ไม่พบหมวดหมู่")))</f>
        <v/>
      </c>
      <c r="E427" s="25"/>
      <c r="F427" s="24"/>
      <c r="G427" s="24"/>
      <c r="H427" s="21" t="n">
        <f aca="false">IF(OR(E427="",D427&lt;&gt;"รายรับ"),0,E427)</f>
        <v>0</v>
      </c>
      <c r="I427" s="21" t="n">
        <f aca="false">IF(OR(E427="",D427&lt;&gt;"รายจ่าย"),0,E427)</f>
        <v>0</v>
      </c>
      <c r="J427" s="21" t="str">
        <f aca="false">IF(E427="","",ตั้งค่า!$B$4+SUM($H$5:H427)-SUM($I$5:I427))</f>
        <v/>
      </c>
      <c r="K427" s="22" t="str">
        <f aca="false">IF(A427="","",MONTH(A427))</f>
        <v/>
      </c>
      <c r="L427" s="22" t="str">
        <f aca="false">IF(A427="","",YEAR(A427))</f>
        <v/>
      </c>
    </row>
    <row r="428" customFormat="false" ht="15" hidden="false" customHeight="false" outlineLevel="0" collapsed="false">
      <c r="A428" s="23"/>
      <c r="B428" s="24"/>
      <c r="C428" s="24"/>
      <c r="D428" s="20" t="str">
        <f aca="false">IF(C428="","",IF(COUNTIF(ตั้งค่า!$A$7:$A$18,C428)&gt;0,"รายรับ",IF(COUNTIF(ตั้งค่า!$C$7:$C$31,C428)&gt;0,"รายจ่าย","ไม่พบหมวดหมู่")))</f>
        <v/>
      </c>
      <c r="E428" s="25"/>
      <c r="F428" s="24"/>
      <c r="G428" s="24"/>
      <c r="H428" s="21" t="n">
        <f aca="false">IF(OR(E428="",D428&lt;&gt;"รายรับ"),0,E428)</f>
        <v>0</v>
      </c>
      <c r="I428" s="21" t="n">
        <f aca="false">IF(OR(E428="",D428&lt;&gt;"รายจ่าย"),0,E428)</f>
        <v>0</v>
      </c>
      <c r="J428" s="21" t="str">
        <f aca="false">IF(E428="","",ตั้งค่า!$B$4+SUM($H$5:H428)-SUM($I$5:I428))</f>
        <v/>
      </c>
      <c r="K428" s="22" t="str">
        <f aca="false">IF(A428="","",MONTH(A428))</f>
        <v/>
      </c>
      <c r="L428" s="22" t="str">
        <f aca="false">IF(A428="","",YEAR(A428))</f>
        <v/>
      </c>
    </row>
    <row r="429" customFormat="false" ht="15" hidden="false" customHeight="false" outlineLevel="0" collapsed="false">
      <c r="A429" s="23"/>
      <c r="B429" s="24"/>
      <c r="C429" s="24"/>
      <c r="D429" s="20" t="str">
        <f aca="false">IF(C429="","",IF(COUNTIF(ตั้งค่า!$A$7:$A$18,C429)&gt;0,"รายรับ",IF(COUNTIF(ตั้งค่า!$C$7:$C$31,C429)&gt;0,"รายจ่าย","ไม่พบหมวดหมู่")))</f>
        <v/>
      </c>
      <c r="E429" s="25"/>
      <c r="F429" s="24"/>
      <c r="G429" s="24"/>
      <c r="H429" s="21" t="n">
        <f aca="false">IF(OR(E429="",D429&lt;&gt;"รายรับ"),0,E429)</f>
        <v>0</v>
      </c>
      <c r="I429" s="21" t="n">
        <f aca="false">IF(OR(E429="",D429&lt;&gt;"รายจ่าย"),0,E429)</f>
        <v>0</v>
      </c>
      <c r="J429" s="21" t="str">
        <f aca="false">IF(E429="","",ตั้งค่า!$B$4+SUM($H$5:H429)-SUM($I$5:I429))</f>
        <v/>
      </c>
      <c r="K429" s="22" t="str">
        <f aca="false">IF(A429="","",MONTH(A429))</f>
        <v/>
      </c>
      <c r="L429" s="22" t="str">
        <f aca="false">IF(A429="","",YEAR(A429))</f>
        <v/>
      </c>
    </row>
    <row r="430" customFormat="false" ht="15" hidden="false" customHeight="false" outlineLevel="0" collapsed="false">
      <c r="A430" s="23"/>
      <c r="B430" s="24"/>
      <c r="C430" s="24"/>
      <c r="D430" s="20" t="str">
        <f aca="false">IF(C430="","",IF(COUNTIF(ตั้งค่า!$A$7:$A$18,C430)&gt;0,"รายรับ",IF(COUNTIF(ตั้งค่า!$C$7:$C$31,C430)&gt;0,"รายจ่าย","ไม่พบหมวดหมู่")))</f>
        <v/>
      </c>
      <c r="E430" s="25"/>
      <c r="F430" s="24"/>
      <c r="G430" s="24"/>
      <c r="H430" s="21" t="n">
        <f aca="false">IF(OR(E430="",D430&lt;&gt;"รายรับ"),0,E430)</f>
        <v>0</v>
      </c>
      <c r="I430" s="21" t="n">
        <f aca="false">IF(OR(E430="",D430&lt;&gt;"รายจ่าย"),0,E430)</f>
        <v>0</v>
      </c>
      <c r="J430" s="21" t="str">
        <f aca="false">IF(E430="","",ตั้งค่า!$B$4+SUM($H$5:H430)-SUM($I$5:I430))</f>
        <v/>
      </c>
      <c r="K430" s="22" t="str">
        <f aca="false">IF(A430="","",MONTH(A430))</f>
        <v/>
      </c>
      <c r="L430" s="22" t="str">
        <f aca="false">IF(A430="","",YEAR(A430))</f>
        <v/>
      </c>
    </row>
    <row r="431" customFormat="false" ht="15" hidden="false" customHeight="false" outlineLevel="0" collapsed="false">
      <c r="A431" s="23"/>
      <c r="B431" s="24"/>
      <c r="C431" s="24"/>
      <c r="D431" s="20" t="str">
        <f aca="false">IF(C431="","",IF(COUNTIF(ตั้งค่า!$A$7:$A$18,C431)&gt;0,"รายรับ",IF(COUNTIF(ตั้งค่า!$C$7:$C$31,C431)&gt;0,"รายจ่าย","ไม่พบหมวดหมู่")))</f>
        <v/>
      </c>
      <c r="E431" s="25"/>
      <c r="F431" s="24"/>
      <c r="G431" s="24"/>
      <c r="H431" s="21" t="n">
        <f aca="false">IF(OR(E431="",D431&lt;&gt;"รายรับ"),0,E431)</f>
        <v>0</v>
      </c>
      <c r="I431" s="21" t="n">
        <f aca="false">IF(OR(E431="",D431&lt;&gt;"รายจ่าย"),0,E431)</f>
        <v>0</v>
      </c>
      <c r="J431" s="21" t="str">
        <f aca="false">IF(E431="","",ตั้งค่า!$B$4+SUM($H$5:H431)-SUM($I$5:I431))</f>
        <v/>
      </c>
      <c r="K431" s="22" t="str">
        <f aca="false">IF(A431="","",MONTH(A431))</f>
        <v/>
      </c>
      <c r="L431" s="22" t="str">
        <f aca="false">IF(A431="","",YEAR(A431))</f>
        <v/>
      </c>
    </row>
    <row r="432" customFormat="false" ht="15" hidden="false" customHeight="false" outlineLevel="0" collapsed="false">
      <c r="A432" s="23"/>
      <c r="B432" s="24"/>
      <c r="C432" s="24"/>
      <c r="D432" s="20" t="str">
        <f aca="false">IF(C432="","",IF(COUNTIF(ตั้งค่า!$A$7:$A$18,C432)&gt;0,"รายรับ",IF(COUNTIF(ตั้งค่า!$C$7:$C$31,C432)&gt;0,"รายจ่าย","ไม่พบหมวดหมู่")))</f>
        <v/>
      </c>
      <c r="E432" s="25"/>
      <c r="F432" s="24"/>
      <c r="G432" s="24"/>
      <c r="H432" s="21" t="n">
        <f aca="false">IF(OR(E432="",D432&lt;&gt;"รายรับ"),0,E432)</f>
        <v>0</v>
      </c>
      <c r="I432" s="21" t="n">
        <f aca="false">IF(OR(E432="",D432&lt;&gt;"รายจ่าย"),0,E432)</f>
        <v>0</v>
      </c>
      <c r="J432" s="21" t="str">
        <f aca="false">IF(E432="","",ตั้งค่า!$B$4+SUM($H$5:H432)-SUM($I$5:I432))</f>
        <v/>
      </c>
      <c r="K432" s="22" t="str">
        <f aca="false">IF(A432="","",MONTH(A432))</f>
        <v/>
      </c>
      <c r="L432" s="22" t="str">
        <f aca="false">IF(A432="","",YEAR(A432))</f>
        <v/>
      </c>
    </row>
    <row r="433" customFormat="false" ht="15" hidden="false" customHeight="false" outlineLevel="0" collapsed="false">
      <c r="A433" s="23"/>
      <c r="B433" s="24"/>
      <c r="C433" s="24"/>
      <c r="D433" s="20" t="str">
        <f aca="false">IF(C433="","",IF(COUNTIF(ตั้งค่า!$A$7:$A$18,C433)&gt;0,"รายรับ",IF(COUNTIF(ตั้งค่า!$C$7:$C$31,C433)&gt;0,"รายจ่าย","ไม่พบหมวดหมู่")))</f>
        <v/>
      </c>
      <c r="E433" s="25"/>
      <c r="F433" s="24"/>
      <c r="G433" s="24"/>
      <c r="H433" s="21" t="n">
        <f aca="false">IF(OR(E433="",D433&lt;&gt;"รายรับ"),0,E433)</f>
        <v>0</v>
      </c>
      <c r="I433" s="21" t="n">
        <f aca="false">IF(OR(E433="",D433&lt;&gt;"รายจ่าย"),0,E433)</f>
        <v>0</v>
      </c>
      <c r="J433" s="21" t="str">
        <f aca="false">IF(E433="","",ตั้งค่า!$B$4+SUM($H$5:H433)-SUM($I$5:I433))</f>
        <v/>
      </c>
      <c r="K433" s="22" t="str">
        <f aca="false">IF(A433="","",MONTH(A433))</f>
        <v/>
      </c>
      <c r="L433" s="22" t="str">
        <f aca="false">IF(A433="","",YEAR(A433))</f>
        <v/>
      </c>
    </row>
    <row r="434" customFormat="false" ht="15" hidden="false" customHeight="false" outlineLevel="0" collapsed="false">
      <c r="A434" s="23"/>
      <c r="B434" s="24"/>
      <c r="C434" s="24"/>
      <c r="D434" s="20" t="str">
        <f aca="false">IF(C434="","",IF(COUNTIF(ตั้งค่า!$A$7:$A$18,C434)&gt;0,"รายรับ",IF(COUNTIF(ตั้งค่า!$C$7:$C$31,C434)&gt;0,"รายจ่าย","ไม่พบหมวดหมู่")))</f>
        <v/>
      </c>
      <c r="E434" s="25"/>
      <c r="F434" s="24"/>
      <c r="G434" s="24"/>
      <c r="H434" s="21" t="n">
        <f aca="false">IF(OR(E434="",D434&lt;&gt;"รายรับ"),0,E434)</f>
        <v>0</v>
      </c>
      <c r="I434" s="21" t="n">
        <f aca="false">IF(OR(E434="",D434&lt;&gt;"รายจ่าย"),0,E434)</f>
        <v>0</v>
      </c>
      <c r="J434" s="21" t="str">
        <f aca="false">IF(E434="","",ตั้งค่า!$B$4+SUM($H$5:H434)-SUM($I$5:I434))</f>
        <v/>
      </c>
      <c r="K434" s="22" t="str">
        <f aca="false">IF(A434="","",MONTH(A434))</f>
        <v/>
      </c>
      <c r="L434" s="22" t="str">
        <f aca="false">IF(A434="","",YEAR(A434))</f>
        <v/>
      </c>
    </row>
    <row r="435" customFormat="false" ht="15" hidden="false" customHeight="false" outlineLevel="0" collapsed="false">
      <c r="A435" s="23"/>
      <c r="B435" s="24"/>
      <c r="C435" s="24"/>
      <c r="D435" s="20" t="str">
        <f aca="false">IF(C435="","",IF(COUNTIF(ตั้งค่า!$A$7:$A$18,C435)&gt;0,"รายรับ",IF(COUNTIF(ตั้งค่า!$C$7:$C$31,C435)&gt;0,"รายจ่าย","ไม่พบหมวดหมู่")))</f>
        <v/>
      </c>
      <c r="E435" s="25"/>
      <c r="F435" s="24"/>
      <c r="G435" s="24"/>
      <c r="H435" s="21" t="n">
        <f aca="false">IF(OR(E435="",D435&lt;&gt;"รายรับ"),0,E435)</f>
        <v>0</v>
      </c>
      <c r="I435" s="21" t="n">
        <f aca="false">IF(OR(E435="",D435&lt;&gt;"รายจ่าย"),0,E435)</f>
        <v>0</v>
      </c>
      <c r="J435" s="21" t="str">
        <f aca="false">IF(E435="","",ตั้งค่า!$B$4+SUM($H$5:H435)-SUM($I$5:I435))</f>
        <v/>
      </c>
      <c r="K435" s="22" t="str">
        <f aca="false">IF(A435="","",MONTH(A435))</f>
        <v/>
      </c>
      <c r="L435" s="22" t="str">
        <f aca="false">IF(A435="","",YEAR(A435))</f>
        <v/>
      </c>
    </row>
    <row r="436" customFormat="false" ht="15" hidden="false" customHeight="false" outlineLevel="0" collapsed="false">
      <c r="A436" s="23"/>
      <c r="B436" s="24"/>
      <c r="C436" s="24"/>
      <c r="D436" s="20" t="str">
        <f aca="false">IF(C436="","",IF(COUNTIF(ตั้งค่า!$A$7:$A$18,C436)&gt;0,"รายรับ",IF(COUNTIF(ตั้งค่า!$C$7:$C$31,C436)&gt;0,"รายจ่าย","ไม่พบหมวดหมู่")))</f>
        <v/>
      </c>
      <c r="E436" s="25"/>
      <c r="F436" s="24"/>
      <c r="G436" s="24"/>
      <c r="H436" s="21" t="n">
        <f aca="false">IF(OR(E436="",D436&lt;&gt;"รายรับ"),0,E436)</f>
        <v>0</v>
      </c>
      <c r="I436" s="21" t="n">
        <f aca="false">IF(OR(E436="",D436&lt;&gt;"รายจ่าย"),0,E436)</f>
        <v>0</v>
      </c>
      <c r="J436" s="21" t="str">
        <f aca="false">IF(E436="","",ตั้งค่า!$B$4+SUM($H$5:H436)-SUM($I$5:I436))</f>
        <v/>
      </c>
      <c r="K436" s="22" t="str">
        <f aca="false">IF(A436="","",MONTH(A436))</f>
        <v/>
      </c>
      <c r="L436" s="22" t="str">
        <f aca="false">IF(A436="","",YEAR(A436))</f>
        <v/>
      </c>
    </row>
    <row r="437" customFormat="false" ht="15" hidden="false" customHeight="false" outlineLevel="0" collapsed="false">
      <c r="A437" s="23"/>
      <c r="B437" s="24"/>
      <c r="C437" s="24"/>
      <c r="D437" s="20" t="str">
        <f aca="false">IF(C437="","",IF(COUNTIF(ตั้งค่า!$A$7:$A$18,C437)&gt;0,"รายรับ",IF(COUNTIF(ตั้งค่า!$C$7:$C$31,C437)&gt;0,"รายจ่าย","ไม่พบหมวดหมู่")))</f>
        <v/>
      </c>
      <c r="E437" s="25"/>
      <c r="F437" s="24"/>
      <c r="G437" s="24"/>
      <c r="H437" s="21" t="n">
        <f aca="false">IF(OR(E437="",D437&lt;&gt;"รายรับ"),0,E437)</f>
        <v>0</v>
      </c>
      <c r="I437" s="21" t="n">
        <f aca="false">IF(OR(E437="",D437&lt;&gt;"รายจ่าย"),0,E437)</f>
        <v>0</v>
      </c>
      <c r="J437" s="21" t="str">
        <f aca="false">IF(E437="","",ตั้งค่า!$B$4+SUM($H$5:H437)-SUM($I$5:I437))</f>
        <v/>
      </c>
      <c r="K437" s="22" t="str">
        <f aca="false">IF(A437="","",MONTH(A437))</f>
        <v/>
      </c>
      <c r="L437" s="22" t="str">
        <f aca="false">IF(A437="","",YEAR(A437))</f>
        <v/>
      </c>
    </row>
    <row r="438" customFormat="false" ht="15" hidden="false" customHeight="false" outlineLevel="0" collapsed="false">
      <c r="A438" s="23"/>
      <c r="B438" s="24"/>
      <c r="C438" s="24"/>
      <c r="D438" s="20" t="str">
        <f aca="false">IF(C438="","",IF(COUNTIF(ตั้งค่า!$A$7:$A$18,C438)&gt;0,"รายรับ",IF(COUNTIF(ตั้งค่า!$C$7:$C$31,C438)&gt;0,"รายจ่าย","ไม่พบหมวดหมู่")))</f>
        <v/>
      </c>
      <c r="E438" s="25"/>
      <c r="F438" s="24"/>
      <c r="G438" s="24"/>
      <c r="H438" s="21" t="n">
        <f aca="false">IF(OR(E438="",D438&lt;&gt;"รายรับ"),0,E438)</f>
        <v>0</v>
      </c>
      <c r="I438" s="21" t="n">
        <f aca="false">IF(OR(E438="",D438&lt;&gt;"รายจ่าย"),0,E438)</f>
        <v>0</v>
      </c>
      <c r="J438" s="21" t="str">
        <f aca="false">IF(E438="","",ตั้งค่า!$B$4+SUM($H$5:H438)-SUM($I$5:I438))</f>
        <v/>
      </c>
      <c r="K438" s="22" t="str">
        <f aca="false">IF(A438="","",MONTH(A438))</f>
        <v/>
      </c>
      <c r="L438" s="22" t="str">
        <f aca="false">IF(A438="","",YEAR(A438))</f>
        <v/>
      </c>
    </row>
    <row r="439" customFormat="false" ht="15" hidden="false" customHeight="false" outlineLevel="0" collapsed="false">
      <c r="A439" s="23"/>
      <c r="B439" s="24"/>
      <c r="C439" s="24"/>
      <c r="D439" s="20" t="str">
        <f aca="false">IF(C439="","",IF(COUNTIF(ตั้งค่า!$A$7:$A$18,C439)&gt;0,"รายรับ",IF(COUNTIF(ตั้งค่า!$C$7:$C$31,C439)&gt;0,"รายจ่าย","ไม่พบหมวดหมู่")))</f>
        <v/>
      </c>
      <c r="E439" s="25"/>
      <c r="F439" s="24"/>
      <c r="G439" s="24"/>
      <c r="H439" s="21" t="n">
        <f aca="false">IF(OR(E439="",D439&lt;&gt;"รายรับ"),0,E439)</f>
        <v>0</v>
      </c>
      <c r="I439" s="21" t="n">
        <f aca="false">IF(OR(E439="",D439&lt;&gt;"รายจ่าย"),0,E439)</f>
        <v>0</v>
      </c>
      <c r="J439" s="21" t="str">
        <f aca="false">IF(E439="","",ตั้งค่า!$B$4+SUM($H$5:H439)-SUM($I$5:I439))</f>
        <v/>
      </c>
      <c r="K439" s="22" t="str">
        <f aca="false">IF(A439="","",MONTH(A439))</f>
        <v/>
      </c>
      <c r="L439" s="22" t="str">
        <f aca="false">IF(A439="","",YEAR(A439))</f>
        <v/>
      </c>
    </row>
    <row r="440" customFormat="false" ht="15" hidden="false" customHeight="false" outlineLevel="0" collapsed="false">
      <c r="A440" s="23"/>
      <c r="B440" s="24"/>
      <c r="C440" s="24"/>
      <c r="D440" s="20" t="str">
        <f aca="false">IF(C440="","",IF(COUNTIF(ตั้งค่า!$A$7:$A$18,C440)&gt;0,"รายรับ",IF(COUNTIF(ตั้งค่า!$C$7:$C$31,C440)&gt;0,"รายจ่าย","ไม่พบหมวดหมู่")))</f>
        <v/>
      </c>
      <c r="E440" s="25"/>
      <c r="F440" s="24"/>
      <c r="G440" s="24"/>
      <c r="H440" s="21" t="n">
        <f aca="false">IF(OR(E440="",D440&lt;&gt;"รายรับ"),0,E440)</f>
        <v>0</v>
      </c>
      <c r="I440" s="21" t="n">
        <f aca="false">IF(OR(E440="",D440&lt;&gt;"รายจ่าย"),0,E440)</f>
        <v>0</v>
      </c>
      <c r="J440" s="21" t="str">
        <f aca="false">IF(E440="","",ตั้งค่า!$B$4+SUM($H$5:H440)-SUM($I$5:I440))</f>
        <v/>
      </c>
      <c r="K440" s="22" t="str">
        <f aca="false">IF(A440="","",MONTH(A440))</f>
        <v/>
      </c>
      <c r="L440" s="22" t="str">
        <f aca="false">IF(A440="","",YEAR(A440))</f>
        <v/>
      </c>
    </row>
    <row r="441" customFormat="false" ht="15" hidden="false" customHeight="false" outlineLevel="0" collapsed="false">
      <c r="A441" s="23"/>
      <c r="B441" s="24"/>
      <c r="C441" s="24"/>
      <c r="D441" s="20" t="str">
        <f aca="false">IF(C441="","",IF(COUNTIF(ตั้งค่า!$A$7:$A$18,C441)&gt;0,"รายรับ",IF(COUNTIF(ตั้งค่า!$C$7:$C$31,C441)&gt;0,"รายจ่าย","ไม่พบหมวดหมู่")))</f>
        <v/>
      </c>
      <c r="E441" s="25"/>
      <c r="F441" s="24"/>
      <c r="G441" s="24"/>
      <c r="H441" s="21" t="n">
        <f aca="false">IF(OR(E441="",D441&lt;&gt;"รายรับ"),0,E441)</f>
        <v>0</v>
      </c>
      <c r="I441" s="21" t="n">
        <f aca="false">IF(OR(E441="",D441&lt;&gt;"รายจ่าย"),0,E441)</f>
        <v>0</v>
      </c>
      <c r="J441" s="21" t="str">
        <f aca="false">IF(E441="","",ตั้งค่า!$B$4+SUM($H$5:H441)-SUM($I$5:I441))</f>
        <v/>
      </c>
      <c r="K441" s="22" t="str">
        <f aca="false">IF(A441="","",MONTH(A441))</f>
        <v/>
      </c>
      <c r="L441" s="22" t="str">
        <f aca="false">IF(A441="","",YEAR(A441))</f>
        <v/>
      </c>
    </row>
    <row r="442" customFormat="false" ht="15" hidden="false" customHeight="false" outlineLevel="0" collapsed="false">
      <c r="A442" s="23"/>
      <c r="B442" s="24"/>
      <c r="C442" s="24"/>
      <c r="D442" s="20" t="str">
        <f aca="false">IF(C442="","",IF(COUNTIF(ตั้งค่า!$A$7:$A$18,C442)&gt;0,"รายรับ",IF(COUNTIF(ตั้งค่า!$C$7:$C$31,C442)&gt;0,"รายจ่าย","ไม่พบหมวดหมู่")))</f>
        <v/>
      </c>
      <c r="E442" s="25"/>
      <c r="F442" s="24"/>
      <c r="G442" s="24"/>
      <c r="H442" s="21" t="n">
        <f aca="false">IF(OR(E442="",D442&lt;&gt;"รายรับ"),0,E442)</f>
        <v>0</v>
      </c>
      <c r="I442" s="21" t="n">
        <f aca="false">IF(OR(E442="",D442&lt;&gt;"รายจ่าย"),0,E442)</f>
        <v>0</v>
      </c>
      <c r="J442" s="21" t="str">
        <f aca="false">IF(E442="","",ตั้งค่า!$B$4+SUM($H$5:H442)-SUM($I$5:I442))</f>
        <v/>
      </c>
      <c r="K442" s="22" t="str">
        <f aca="false">IF(A442="","",MONTH(A442))</f>
        <v/>
      </c>
      <c r="L442" s="22" t="str">
        <f aca="false">IF(A442="","",YEAR(A442))</f>
        <v/>
      </c>
    </row>
    <row r="443" customFormat="false" ht="15" hidden="false" customHeight="false" outlineLevel="0" collapsed="false">
      <c r="A443" s="23"/>
      <c r="B443" s="24"/>
      <c r="C443" s="24"/>
      <c r="D443" s="20" t="str">
        <f aca="false">IF(C443="","",IF(COUNTIF(ตั้งค่า!$A$7:$A$18,C443)&gt;0,"รายรับ",IF(COUNTIF(ตั้งค่า!$C$7:$C$31,C443)&gt;0,"รายจ่าย","ไม่พบหมวดหมู่")))</f>
        <v/>
      </c>
      <c r="E443" s="25"/>
      <c r="F443" s="24"/>
      <c r="G443" s="24"/>
      <c r="H443" s="21" t="n">
        <f aca="false">IF(OR(E443="",D443&lt;&gt;"รายรับ"),0,E443)</f>
        <v>0</v>
      </c>
      <c r="I443" s="21" t="n">
        <f aca="false">IF(OR(E443="",D443&lt;&gt;"รายจ่าย"),0,E443)</f>
        <v>0</v>
      </c>
      <c r="J443" s="21" t="str">
        <f aca="false">IF(E443="","",ตั้งค่า!$B$4+SUM($H$5:H443)-SUM($I$5:I443))</f>
        <v/>
      </c>
      <c r="K443" s="22" t="str">
        <f aca="false">IF(A443="","",MONTH(A443))</f>
        <v/>
      </c>
      <c r="L443" s="22" t="str">
        <f aca="false">IF(A443="","",YEAR(A443))</f>
        <v/>
      </c>
    </row>
    <row r="444" customFormat="false" ht="15" hidden="false" customHeight="false" outlineLevel="0" collapsed="false">
      <c r="A444" s="23"/>
      <c r="B444" s="24"/>
      <c r="C444" s="24"/>
      <c r="D444" s="20" t="str">
        <f aca="false">IF(C444="","",IF(COUNTIF(ตั้งค่า!$A$7:$A$18,C444)&gt;0,"รายรับ",IF(COUNTIF(ตั้งค่า!$C$7:$C$31,C444)&gt;0,"รายจ่าย","ไม่พบหมวดหมู่")))</f>
        <v/>
      </c>
      <c r="E444" s="25"/>
      <c r="F444" s="24"/>
      <c r="G444" s="24"/>
      <c r="H444" s="21" t="n">
        <f aca="false">IF(OR(E444="",D444&lt;&gt;"รายรับ"),0,E444)</f>
        <v>0</v>
      </c>
      <c r="I444" s="21" t="n">
        <f aca="false">IF(OR(E444="",D444&lt;&gt;"รายจ่าย"),0,E444)</f>
        <v>0</v>
      </c>
      <c r="J444" s="21" t="str">
        <f aca="false">IF(E444="","",ตั้งค่า!$B$4+SUM($H$5:H444)-SUM($I$5:I444))</f>
        <v/>
      </c>
      <c r="K444" s="22" t="str">
        <f aca="false">IF(A444="","",MONTH(A444))</f>
        <v/>
      </c>
      <c r="L444" s="22" t="str">
        <f aca="false">IF(A444="","",YEAR(A444))</f>
        <v/>
      </c>
    </row>
    <row r="445" customFormat="false" ht="15" hidden="false" customHeight="false" outlineLevel="0" collapsed="false">
      <c r="A445" s="23"/>
      <c r="B445" s="24"/>
      <c r="C445" s="24"/>
      <c r="D445" s="20" t="str">
        <f aca="false">IF(C445="","",IF(COUNTIF(ตั้งค่า!$A$7:$A$18,C445)&gt;0,"รายรับ",IF(COUNTIF(ตั้งค่า!$C$7:$C$31,C445)&gt;0,"รายจ่าย","ไม่พบหมวดหมู่")))</f>
        <v/>
      </c>
      <c r="E445" s="25"/>
      <c r="F445" s="24"/>
      <c r="G445" s="24"/>
      <c r="H445" s="21" t="n">
        <f aca="false">IF(OR(E445="",D445&lt;&gt;"รายรับ"),0,E445)</f>
        <v>0</v>
      </c>
      <c r="I445" s="21" t="n">
        <f aca="false">IF(OR(E445="",D445&lt;&gt;"รายจ่าย"),0,E445)</f>
        <v>0</v>
      </c>
      <c r="J445" s="21" t="str">
        <f aca="false">IF(E445="","",ตั้งค่า!$B$4+SUM($H$5:H445)-SUM($I$5:I445))</f>
        <v/>
      </c>
      <c r="K445" s="22" t="str">
        <f aca="false">IF(A445="","",MONTH(A445))</f>
        <v/>
      </c>
      <c r="L445" s="22" t="str">
        <f aca="false">IF(A445="","",YEAR(A445))</f>
        <v/>
      </c>
    </row>
    <row r="446" customFormat="false" ht="15" hidden="false" customHeight="false" outlineLevel="0" collapsed="false">
      <c r="A446" s="23"/>
      <c r="B446" s="24"/>
      <c r="C446" s="24"/>
      <c r="D446" s="20" t="str">
        <f aca="false">IF(C446="","",IF(COUNTIF(ตั้งค่า!$A$7:$A$18,C446)&gt;0,"รายรับ",IF(COUNTIF(ตั้งค่า!$C$7:$C$31,C446)&gt;0,"รายจ่าย","ไม่พบหมวดหมู่")))</f>
        <v/>
      </c>
      <c r="E446" s="25"/>
      <c r="F446" s="24"/>
      <c r="G446" s="24"/>
      <c r="H446" s="21" t="n">
        <f aca="false">IF(OR(E446="",D446&lt;&gt;"รายรับ"),0,E446)</f>
        <v>0</v>
      </c>
      <c r="I446" s="21" t="n">
        <f aca="false">IF(OR(E446="",D446&lt;&gt;"รายจ่าย"),0,E446)</f>
        <v>0</v>
      </c>
      <c r="J446" s="21" t="str">
        <f aca="false">IF(E446="","",ตั้งค่า!$B$4+SUM($H$5:H446)-SUM($I$5:I446))</f>
        <v/>
      </c>
      <c r="K446" s="22" t="str">
        <f aca="false">IF(A446="","",MONTH(A446))</f>
        <v/>
      </c>
      <c r="L446" s="22" t="str">
        <f aca="false">IF(A446="","",YEAR(A446))</f>
        <v/>
      </c>
    </row>
    <row r="447" customFormat="false" ht="15" hidden="false" customHeight="false" outlineLevel="0" collapsed="false">
      <c r="A447" s="23"/>
      <c r="B447" s="24"/>
      <c r="C447" s="24"/>
      <c r="D447" s="20" t="str">
        <f aca="false">IF(C447="","",IF(COUNTIF(ตั้งค่า!$A$7:$A$18,C447)&gt;0,"รายรับ",IF(COUNTIF(ตั้งค่า!$C$7:$C$31,C447)&gt;0,"รายจ่าย","ไม่พบหมวดหมู่")))</f>
        <v/>
      </c>
      <c r="E447" s="25"/>
      <c r="F447" s="24"/>
      <c r="G447" s="24"/>
      <c r="H447" s="21" t="n">
        <f aca="false">IF(OR(E447="",D447&lt;&gt;"รายรับ"),0,E447)</f>
        <v>0</v>
      </c>
      <c r="I447" s="21" t="n">
        <f aca="false">IF(OR(E447="",D447&lt;&gt;"รายจ่าย"),0,E447)</f>
        <v>0</v>
      </c>
      <c r="J447" s="21" t="str">
        <f aca="false">IF(E447="","",ตั้งค่า!$B$4+SUM($H$5:H447)-SUM($I$5:I447))</f>
        <v/>
      </c>
      <c r="K447" s="22" t="str">
        <f aca="false">IF(A447="","",MONTH(A447))</f>
        <v/>
      </c>
      <c r="L447" s="22" t="str">
        <f aca="false">IF(A447="","",YEAR(A447))</f>
        <v/>
      </c>
    </row>
    <row r="448" customFormat="false" ht="15" hidden="false" customHeight="false" outlineLevel="0" collapsed="false">
      <c r="A448" s="23"/>
      <c r="B448" s="24"/>
      <c r="C448" s="24"/>
      <c r="D448" s="20" t="str">
        <f aca="false">IF(C448="","",IF(COUNTIF(ตั้งค่า!$A$7:$A$18,C448)&gt;0,"รายรับ",IF(COUNTIF(ตั้งค่า!$C$7:$C$31,C448)&gt;0,"รายจ่าย","ไม่พบหมวดหมู่")))</f>
        <v/>
      </c>
      <c r="E448" s="25"/>
      <c r="F448" s="24"/>
      <c r="G448" s="24"/>
      <c r="H448" s="21" t="n">
        <f aca="false">IF(OR(E448="",D448&lt;&gt;"รายรับ"),0,E448)</f>
        <v>0</v>
      </c>
      <c r="I448" s="21" t="n">
        <f aca="false">IF(OR(E448="",D448&lt;&gt;"รายจ่าย"),0,E448)</f>
        <v>0</v>
      </c>
      <c r="J448" s="21" t="str">
        <f aca="false">IF(E448="","",ตั้งค่า!$B$4+SUM($H$5:H448)-SUM($I$5:I448))</f>
        <v/>
      </c>
      <c r="K448" s="22" t="str">
        <f aca="false">IF(A448="","",MONTH(A448))</f>
        <v/>
      </c>
      <c r="L448" s="22" t="str">
        <f aca="false">IF(A448="","",YEAR(A448))</f>
        <v/>
      </c>
    </row>
    <row r="449" customFormat="false" ht="15" hidden="false" customHeight="false" outlineLevel="0" collapsed="false">
      <c r="A449" s="23"/>
      <c r="B449" s="24"/>
      <c r="C449" s="24"/>
      <c r="D449" s="20" t="str">
        <f aca="false">IF(C449="","",IF(COUNTIF(ตั้งค่า!$A$7:$A$18,C449)&gt;0,"รายรับ",IF(COUNTIF(ตั้งค่า!$C$7:$C$31,C449)&gt;0,"รายจ่าย","ไม่พบหมวดหมู่")))</f>
        <v/>
      </c>
      <c r="E449" s="25"/>
      <c r="F449" s="24"/>
      <c r="G449" s="24"/>
      <c r="H449" s="21" t="n">
        <f aca="false">IF(OR(E449="",D449&lt;&gt;"รายรับ"),0,E449)</f>
        <v>0</v>
      </c>
      <c r="I449" s="21" t="n">
        <f aca="false">IF(OR(E449="",D449&lt;&gt;"รายจ่าย"),0,E449)</f>
        <v>0</v>
      </c>
      <c r="J449" s="21" t="str">
        <f aca="false">IF(E449="","",ตั้งค่า!$B$4+SUM($H$5:H449)-SUM($I$5:I449))</f>
        <v/>
      </c>
      <c r="K449" s="22" t="str">
        <f aca="false">IF(A449="","",MONTH(A449))</f>
        <v/>
      </c>
      <c r="L449" s="22" t="str">
        <f aca="false">IF(A449="","",YEAR(A449))</f>
        <v/>
      </c>
    </row>
    <row r="450" customFormat="false" ht="15" hidden="false" customHeight="false" outlineLevel="0" collapsed="false">
      <c r="A450" s="23"/>
      <c r="B450" s="24"/>
      <c r="C450" s="24"/>
      <c r="D450" s="20" t="str">
        <f aca="false">IF(C450="","",IF(COUNTIF(ตั้งค่า!$A$7:$A$18,C450)&gt;0,"รายรับ",IF(COUNTIF(ตั้งค่า!$C$7:$C$31,C450)&gt;0,"รายจ่าย","ไม่พบหมวดหมู่")))</f>
        <v/>
      </c>
      <c r="E450" s="25"/>
      <c r="F450" s="24"/>
      <c r="G450" s="24"/>
      <c r="H450" s="21" t="n">
        <f aca="false">IF(OR(E450="",D450&lt;&gt;"รายรับ"),0,E450)</f>
        <v>0</v>
      </c>
      <c r="I450" s="21" t="n">
        <f aca="false">IF(OR(E450="",D450&lt;&gt;"รายจ่าย"),0,E450)</f>
        <v>0</v>
      </c>
      <c r="J450" s="21" t="str">
        <f aca="false">IF(E450="","",ตั้งค่า!$B$4+SUM($H$5:H450)-SUM($I$5:I450))</f>
        <v/>
      </c>
      <c r="K450" s="22" t="str">
        <f aca="false">IF(A450="","",MONTH(A450))</f>
        <v/>
      </c>
      <c r="L450" s="22" t="str">
        <f aca="false">IF(A450="","",YEAR(A450))</f>
        <v/>
      </c>
    </row>
    <row r="451" customFormat="false" ht="15" hidden="false" customHeight="false" outlineLevel="0" collapsed="false">
      <c r="A451" s="23"/>
      <c r="B451" s="24"/>
      <c r="C451" s="24"/>
      <c r="D451" s="20" t="str">
        <f aca="false">IF(C451="","",IF(COUNTIF(ตั้งค่า!$A$7:$A$18,C451)&gt;0,"รายรับ",IF(COUNTIF(ตั้งค่า!$C$7:$C$31,C451)&gt;0,"รายจ่าย","ไม่พบหมวดหมู่")))</f>
        <v/>
      </c>
      <c r="E451" s="25"/>
      <c r="F451" s="24"/>
      <c r="G451" s="24"/>
      <c r="H451" s="21" t="n">
        <f aca="false">IF(OR(E451="",D451&lt;&gt;"รายรับ"),0,E451)</f>
        <v>0</v>
      </c>
      <c r="I451" s="21" t="n">
        <f aca="false">IF(OR(E451="",D451&lt;&gt;"รายจ่าย"),0,E451)</f>
        <v>0</v>
      </c>
      <c r="J451" s="21" t="str">
        <f aca="false">IF(E451="","",ตั้งค่า!$B$4+SUM($H$5:H451)-SUM($I$5:I451))</f>
        <v/>
      </c>
      <c r="K451" s="22" t="str">
        <f aca="false">IF(A451="","",MONTH(A451))</f>
        <v/>
      </c>
      <c r="L451" s="22" t="str">
        <f aca="false">IF(A451="","",YEAR(A451))</f>
        <v/>
      </c>
    </row>
    <row r="452" customFormat="false" ht="15" hidden="false" customHeight="false" outlineLevel="0" collapsed="false">
      <c r="A452" s="23"/>
      <c r="B452" s="24"/>
      <c r="C452" s="24"/>
      <c r="D452" s="20" t="str">
        <f aca="false">IF(C452="","",IF(COUNTIF(ตั้งค่า!$A$7:$A$18,C452)&gt;0,"รายรับ",IF(COUNTIF(ตั้งค่า!$C$7:$C$31,C452)&gt;0,"รายจ่าย","ไม่พบหมวดหมู่")))</f>
        <v/>
      </c>
      <c r="E452" s="25"/>
      <c r="F452" s="24"/>
      <c r="G452" s="24"/>
      <c r="H452" s="21" t="n">
        <f aca="false">IF(OR(E452="",D452&lt;&gt;"รายรับ"),0,E452)</f>
        <v>0</v>
      </c>
      <c r="I452" s="21" t="n">
        <f aca="false">IF(OR(E452="",D452&lt;&gt;"รายจ่าย"),0,E452)</f>
        <v>0</v>
      </c>
      <c r="J452" s="21" t="str">
        <f aca="false">IF(E452="","",ตั้งค่า!$B$4+SUM($H$5:H452)-SUM($I$5:I452))</f>
        <v/>
      </c>
      <c r="K452" s="22" t="str">
        <f aca="false">IF(A452="","",MONTH(A452))</f>
        <v/>
      </c>
      <c r="L452" s="22" t="str">
        <f aca="false">IF(A452="","",YEAR(A452))</f>
        <v/>
      </c>
    </row>
    <row r="453" customFormat="false" ht="15" hidden="false" customHeight="false" outlineLevel="0" collapsed="false">
      <c r="A453" s="23"/>
      <c r="B453" s="24"/>
      <c r="C453" s="24"/>
      <c r="D453" s="20" t="str">
        <f aca="false">IF(C453="","",IF(COUNTIF(ตั้งค่า!$A$7:$A$18,C453)&gt;0,"รายรับ",IF(COUNTIF(ตั้งค่า!$C$7:$C$31,C453)&gt;0,"รายจ่าย","ไม่พบหมวดหมู่")))</f>
        <v/>
      </c>
      <c r="E453" s="25"/>
      <c r="F453" s="24"/>
      <c r="G453" s="24"/>
      <c r="H453" s="21" t="n">
        <f aca="false">IF(OR(E453="",D453&lt;&gt;"รายรับ"),0,E453)</f>
        <v>0</v>
      </c>
      <c r="I453" s="21" t="n">
        <f aca="false">IF(OR(E453="",D453&lt;&gt;"รายจ่าย"),0,E453)</f>
        <v>0</v>
      </c>
      <c r="J453" s="21" t="str">
        <f aca="false">IF(E453="","",ตั้งค่า!$B$4+SUM($H$5:H453)-SUM($I$5:I453))</f>
        <v/>
      </c>
      <c r="K453" s="22" t="str">
        <f aca="false">IF(A453="","",MONTH(A453))</f>
        <v/>
      </c>
      <c r="L453" s="22" t="str">
        <f aca="false">IF(A453="","",YEAR(A453))</f>
        <v/>
      </c>
    </row>
    <row r="454" customFormat="false" ht="15" hidden="false" customHeight="false" outlineLevel="0" collapsed="false">
      <c r="A454" s="23"/>
      <c r="B454" s="24"/>
      <c r="C454" s="24"/>
      <c r="D454" s="20" t="str">
        <f aca="false">IF(C454="","",IF(COUNTIF(ตั้งค่า!$A$7:$A$18,C454)&gt;0,"รายรับ",IF(COUNTIF(ตั้งค่า!$C$7:$C$31,C454)&gt;0,"รายจ่าย","ไม่พบหมวดหมู่")))</f>
        <v/>
      </c>
      <c r="E454" s="25"/>
      <c r="F454" s="24"/>
      <c r="G454" s="24"/>
      <c r="H454" s="21" t="n">
        <f aca="false">IF(OR(E454="",D454&lt;&gt;"รายรับ"),0,E454)</f>
        <v>0</v>
      </c>
      <c r="I454" s="21" t="n">
        <f aca="false">IF(OR(E454="",D454&lt;&gt;"รายจ่าย"),0,E454)</f>
        <v>0</v>
      </c>
      <c r="J454" s="21" t="str">
        <f aca="false">IF(E454="","",ตั้งค่า!$B$4+SUM($H$5:H454)-SUM($I$5:I454))</f>
        <v/>
      </c>
      <c r="K454" s="22" t="str">
        <f aca="false">IF(A454="","",MONTH(A454))</f>
        <v/>
      </c>
      <c r="L454" s="22" t="str">
        <f aca="false">IF(A454="","",YEAR(A454))</f>
        <v/>
      </c>
    </row>
    <row r="455" customFormat="false" ht="15" hidden="false" customHeight="false" outlineLevel="0" collapsed="false">
      <c r="A455" s="23"/>
      <c r="B455" s="24"/>
      <c r="C455" s="24"/>
      <c r="D455" s="20" t="str">
        <f aca="false">IF(C455="","",IF(COUNTIF(ตั้งค่า!$A$7:$A$18,C455)&gt;0,"รายรับ",IF(COUNTIF(ตั้งค่า!$C$7:$C$31,C455)&gt;0,"รายจ่าย","ไม่พบหมวดหมู่")))</f>
        <v/>
      </c>
      <c r="E455" s="25"/>
      <c r="F455" s="24"/>
      <c r="G455" s="24"/>
      <c r="H455" s="21" t="n">
        <f aca="false">IF(OR(E455="",D455&lt;&gt;"รายรับ"),0,E455)</f>
        <v>0</v>
      </c>
      <c r="I455" s="21" t="n">
        <f aca="false">IF(OR(E455="",D455&lt;&gt;"รายจ่าย"),0,E455)</f>
        <v>0</v>
      </c>
      <c r="J455" s="21" t="str">
        <f aca="false">IF(E455="","",ตั้งค่า!$B$4+SUM($H$5:H455)-SUM($I$5:I455))</f>
        <v/>
      </c>
      <c r="K455" s="22" t="str">
        <f aca="false">IF(A455="","",MONTH(A455))</f>
        <v/>
      </c>
      <c r="L455" s="22" t="str">
        <f aca="false">IF(A455="","",YEAR(A455))</f>
        <v/>
      </c>
    </row>
    <row r="456" customFormat="false" ht="15" hidden="false" customHeight="false" outlineLevel="0" collapsed="false">
      <c r="A456" s="23"/>
      <c r="B456" s="24"/>
      <c r="C456" s="24"/>
      <c r="D456" s="20" t="str">
        <f aca="false">IF(C456="","",IF(COUNTIF(ตั้งค่า!$A$7:$A$18,C456)&gt;0,"รายรับ",IF(COUNTIF(ตั้งค่า!$C$7:$C$31,C456)&gt;0,"รายจ่าย","ไม่พบหมวดหมู่")))</f>
        <v/>
      </c>
      <c r="E456" s="25"/>
      <c r="F456" s="24"/>
      <c r="G456" s="24"/>
      <c r="H456" s="21" t="n">
        <f aca="false">IF(OR(E456="",D456&lt;&gt;"รายรับ"),0,E456)</f>
        <v>0</v>
      </c>
      <c r="I456" s="21" t="n">
        <f aca="false">IF(OR(E456="",D456&lt;&gt;"รายจ่าย"),0,E456)</f>
        <v>0</v>
      </c>
      <c r="J456" s="21" t="str">
        <f aca="false">IF(E456="","",ตั้งค่า!$B$4+SUM($H$5:H456)-SUM($I$5:I456))</f>
        <v/>
      </c>
      <c r="K456" s="22" t="str">
        <f aca="false">IF(A456="","",MONTH(A456))</f>
        <v/>
      </c>
      <c r="L456" s="22" t="str">
        <f aca="false">IF(A456="","",YEAR(A456))</f>
        <v/>
      </c>
    </row>
    <row r="457" customFormat="false" ht="15" hidden="false" customHeight="false" outlineLevel="0" collapsed="false">
      <c r="A457" s="23"/>
      <c r="B457" s="24"/>
      <c r="C457" s="24"/>
      <c r="D457" s="20" t="str">
        <f aca="false">IF(C457="","",IF(COUNTIF(ตั้งค่า!$A$7:$A$18,C457)&gt;0,"รายรับ",IF(COUNTIF(ตั้งค่า!$C$7:$C$31,C457)&gt;0,"รายจ่าย","ไม่พบหมวดหมู่")))</f>
        <v/>
      </c>
      <c r="E457" s="25"/>
      <c r="F457" s="24"/>
      <c r="G457" s="24"/>
      <c r="H457" s="21" t="n">
        <f aca="false">IF(OR(E457="",D457&lt;&gt;"รายรับ"),0,E457)</f>
        <v>0</v>
      </c>
      <c r="I457" s="21" t="n">
        <f aca="false">IF(OR(E457="",D457&lt;&gt;"รายจ่าย"),0,E457)</f>
        <v>0</v>
      </c>
      <c r="J457" s="21" t="str">
        <f aca="false">IF(E457="","",ตั้งค่า!$B$4+SUM($H$5:H457)-SUM($I$5:I457))</f>
        <v/>
      </c>
      <c r="K457" s="22" t="str">
        <f aca="false">IF(A457="","",MONTH(A457))</f>
        <v/>
      </c>
      <c r="L457" s="22" t="str">
        <f aca="false">IF(A457="","",YEAR(A457))</f>
        <v/>
      </c>
    </row>
    <row r="458" customFormat="false" ht="15" hidden="false" customHeight="false" outlineLevel="0" collapsed="false">
      <c r="A458" s="23"/>
      <c r="B458" s="24"/>
      <c r="C458" s="24"/>
      <c r="D458" s="20" t="str">
        <f aca="false">IF(C458="","",IF(COUNTIF(ตั้งค่า!$A$7:$A$18,C458)&gt;0,"รายรับ",IF(COUNTIF(ตั้งค่า!$C$7:$C$31,C458)&gt;0,"รายจ่าย","ไม่พบหมวดหมู่")))</f>
        <v/>
      </c>
      <c r="E458" s="25"/>
      <c r="F458" s="24"/>
      <c r="G458" s="24"/>
      <c r="H458" s="21" t="n">
        <f aca="false">IF(OR(E458="",D458&lt;&gt;"รายรับ"),0,E458)</f>
        <v>0</v>
      </c>
      <c r="I458" s="21" t="n">
        <f aca="false">IF(OR(E458="",D458&lt;&gt;"รายจ่าย"),0,E458)</f>
        <v>0</v>
      </c>
      <c r="J458" s="21" t="str">
        <f aca="false">IF(E458="","",ตั้งค่า!$B$4+SUM($H$5:H458)-SUM($I$5:I458))</f>
        <v/>
      </c>
      <c r="K458" s="22" t="str">
        <f aca="false">IF(A458="","",MONTH(A458))</f>
        <v/>
      </c>
      <c r="L458" s="22" t="str">
        <f aca="false">IF(A458="","",YEAR(A458))</f>
        <v/>
      </c>
    </row>
    <row r="459" customFormat="false" ht="15" hidden="false" customHeight="false" outlineLevel="0" collapsed="false">
      <c r="A459" s="23"/>
      <c r="B459" s="24"/>
      <c r="C459" s="24"/>
      <c r="D459" s="20" t="str">
        <f aca="false">IF(C459="","",IF(COUNTIF(ตั้งค่า!$A$7:$A$18,C459)&gt;0,"รายรับ",IF(COUNTIF(ตั้งค่า!$C$7:$C$31,C459)&gt;0,"รายจ่าย","ไม่พบหมวดหมู่")))</f>
        <v/>
      </c>
      <c r="E459" s="25"/>
      <c r="F459" s="24"/>
      <c r="G459" s="24"/>
      <c r="H459" s="21" t="n">
        <f aca="false">IF(OR(E459="",D459&lt;&gt;"รายรับ"),0,E459)</f>
        <v>0</v>
      </c>
      <c r="I459" s="21" t="n">
        <f aca="false">IF(OR(E459="",D459&lt;&gt;"รายจ่าย"),0,E459)</f>
        <v>0</v>
      </c>
      <c r="J459" s="21" t="str">
        <f aca="false">IF(E459="","",ตั้งค่า!$B$4+SUM($H$5:H459)-SUM($I$5:I459))</f>
        <v/>
      </c>
      <c r="K459" s="22" t="str">
        <f aca="false">IF(A459="","",MONTH(A459))</f>
        <v/>
      </c>
      <c r="L459" s="22" t="str">
        <f aca="false">IF(A459="","",YEAR(A459))</f>
        <v/>
      </c>
    </row>
    <row r="460" customFormat="false" ht="15" hidden="false" customHeight="false" outlineLevel="0" collapsed="false">
      <c r="A460" s="23"/>
      <c r="B460" s="24"/>
      <c r="C460" s="24"/>
      <c r="D460" s="20" t="str">
        <f aca="false">IF(C460="","",IF(COUNTIF(ตั้งค่า!$A$7:$A$18,C460)&gt;0,"รายรับ",IF(COUNTIF(ตั้งค่า!$C$7:$C$31,C460)&gt;0,"รายจ่าย","ไม่พบหมวดหมู่")))</f>
        <v/>
      </c>
      <c r="E460" s="25"/>
      <c r="F460" s="24"/>
      <c r="G460" s="24"/>
      <c r="H460" s="21" t="n">
        <f aca="false">IF(OR(E460="",D460&lt;&gt;"รายรับ"),0,E460)</f>
        <v>0</v>
      </c>
      <c r="I460" s="21" t="n">
        <f aca="false">IF(OR(E460="",D460&lt;&gt;"รายจ่าย"),0,E460)</f>
        <v>0</v>
      </c>
      <c r="J460" s="21" t="str">
        <f aca="false">IF(E460="","",ตั้งค่า!$B$4+SUM($H$5:H460)-SUM($I$5:I460))</f>
        <v/>
      </c>
      <c r="K460" s="22" t="str">
        <f aca="false">IF(A460="","",MONTH(A460))</f>
        <v/>
      </c>
      <c r="L460" s="22" t="str">
        <f aca="false">IF(A460="","",YEAR(A460))</f>
        <v/>
      </c>
    </row>
    <row r="461" customFormat="false" ht="15" hidden="false" customHeight="false" outlineLevel="0" collapsed="false">
      <c r="A461" s="23"/>
      <c r="B461" s="24"/>
      <c r="C461" s="24"/>
      <c r="D461" s="20" t="str">
        <f aca="false">IF(C461="","",IF(COUNTIF(ตั้งค่า!$A$7:$A$18,C461)&gt;0,"รายรับ",IF(COUNTIF(ตั้งค่า!$C$7:$C$31,C461)&gt;0,"รายจ่าย","ไม่พบหมวดหมู่")))</f>
        <v/>
      </c>
      <c r="E461" s="25"/>
      <c r="F461" s="24"/>
      <c r="G461" s="24"/>
      <c r="H461" s="21" t="n">
        <f aca="false">IF(OR(E461="",D461&lt;&gt;"รายรับ"),0,E461)</f>
        <v>0</v>
      </c>
      <c r="I461" s="21" t="n">
        <f aca="false">IF(OR(E461="",D461&lt;&gt;"รายจ่าย"),0,E461)</f>
        <v>0</v>
      </c>
      <c r="J461" s="21" t="str">
        <f aca="false">IF(E461="","",ตั้งค่า!$B$4+SUM($H$5:H461)-SUM($I$5:I461))</f>
        <v/>
      </c>
      <c r="K461" s="22" t="str">
        <f aca="false">IF(A461="","",MONTH(A461))</f>
        <v/>
      </c>
      <c r="L461" s="22" t="str">
        <f aca="false">IF(A461="","",YEAR(A461))</f>
        <v/>
      </c>
    </row>
    <row r="462" customFormat="false" ht="15" hidden="false" customHeight="false" outlineLevel="0" collapsed="false">
      <c r="A462" s="23"/>
      <c r="B462" s="24"/>
      <c r="C462" s="24"/>
      <c r="D462" s="20" t="str">
        <f aca="false">IF(C462="","",IF(COUNTIF(ตั้งค่า!$A$7:$A$18,C462)&gt;0,"รายรับ",IF(COUNTIF(ตั้งค่า!$C$7:$C$31,C462)&gt;0,"รายจ่าย","ไม่พบหมวดหมู่")))</f>
        <v/>
      </c>
      <c r="E462" s="25"/>
      <c r="F462" s="24"/>
      <c r="G462" s="24"/>
      <c r="H462" s="21" t="n">
        <f aca="false">IF(OR(E462="",D462&lt;&gt;"รายรับ"),0,E462)</f>
        <v>0</v>
      </c>
      <c r="I462" s="21" t="n">
        <f aca="false">IF(OR(E462="",D462&lt;&gt;"รายจ่าย"),0,E462)</f>
        <v>0</v>
      </c>
      <c r="J462" s="21" t="str">
        <f aca="false">IF(E462="","",ตั้งค่า!$B$4+SUM($H$5:H462)-SUM($I$5:I462))</f>
        <v/>
      </c>
      <c r="K462" s="22" t="str">
        <f aca="false">IF(A462="","",MONTH(A462))</f>
        <v/>
      </c>
      <c r="L462" s="22" t="str">
        <f aca="false">IF(A462="","",YEAR(A462))</f>
        <v/>
      </c>
    </row>
    <row r="463" customFormat="false" ht="15" hidden="false" customHeight="false" outlineLevel="0" collapsed="false">
      <c r="A463" s="23"/>
      <c r="B463" s="24"/>
      <c r="C463" s="24"/>
      <c r="D463" s="20" t="str">
        <f aca="false">IF(C463="","",IF(COUNTIF(ตั้งค่า!$A$7:$A$18,C463)&gt;0,"รายรับ",IF(COUNTIF(ตั้งค่า!$C$7:$C$31,C463)&gt;0,"รายจ่าย","ไม่พบหมวดหมู่")))</f>
        <v/>
      </c>
      <c r="E463" s="25"/>
      <c r="F463" s="24"/>
      <c r="G463" s="24"/>
      <c r="H463" s="21" t="n">
        <f aca="false">IF(OR(E463="",D463&lt;&gt;"รายรับ"),0,E463)</f>
        <v>0</v>
      </c>
      <c r="I463" s="21" t="n">
        <f aca="false">IF(OR(E463="",D463&lt;&gt;"รายจ่าย"),0,E463)</f>
        <v>0</v>
      </c>
      <c r="J463" s="21" t="str">
        <f aca="false">IF(E463="","",ตั้งค่า!$B$4+SUM($H$5:H463)-SUM($I$5:I463))</f>
        <v/>
      </c>
      <c r="K463" s="22" t="str">
        <f aca="false">IF(A463="","",MONTH(A463))</f>
        <v/>
      </c>
      <c r="L463" s="22" t="str">
        <f aca="false">IF(A463="","",YEAR(A463))</f>
        <v/>
      </c>
    </row>
    <row r="464" customFormat="false" ht="15" hidden="false" customHeight="false" outlineLevel="0" collapsed="false">
      <c r="A464" s="23"/>
      <c r="B464" s="24"/>
      <c r="C464" s="24"/>
      <c r="D464" s="20" t="str">
        <f aca="false">IF(C464="","",IF(COUNTIF(ตั้งค่า!$A$7:$A$18,C464)&gt;0,"รายรับ",IF(COUNTIF(ตั้งค่า!$C$7:$C$31,C464)&gt;0,"รายจ่าย","ไม่พบหมวดหมู่")))</f>
        <v/>
      </c>
      <c r="E464" s="25"/>
      <c r="F464" s="24"/>
      <c r="G464" s="24"/>
      <c r="H464" s="21" t="n">
        <f aca="false">IF(OR(E464="",D464&lt;&gt;"รายรับ"),0,E464)</f>
        <v>0</v>
      </c>
      <c r="I464" s="21" t="n">
        <f aca="false">IF(OR(E464="",D464&lt;&gt;"รายจ่าย"),0,E464)</f>
        <v>0</v>
      </c>
      <c r="J464" s="21" t="str">
        <f aca="false">IF(E464="","",ตั้งค่า!$B$4+SUM($H$5:H464)-SUM($I$5:I464))</f>
        <v/>
      </c>
      <c r="K464" s="22" t="str">
        <f aca="false">IF(A464="","",MONTH(A464))</f>
        <v/>
      </c>
      <c r="L464" s="22" t="str">
        <f aca="false">IF(A464="","",YEAR(A464))</f>
        <v/>
      </c>
    </row>
    <row r="465" customFormat="false" ht="15" hidden="false" customHeight="false" outlineLevel="0" collapsed="false">
      <c r="A465" s="23"/>
      <c r="B465" s="24"/>
      <c r="C465" s="24"/>
      <c r="D465" s="20" t="str">
        <f aca="false">IF(C465="","",IF(COUNTIF(ตั้งค่า!$A$7:$A$18,C465)&gt;0,"รายรับ",IF(COUNTIF(ตั้งค่า!$C$7:$C$31,C465)&gt;0,"รายจ่าย","ไม่พบหมวดหมู่")))</f>
        <v/>
      </c>
      <c r="E465" s="25"/>
      <c r="F465" s="24"/>
      <c r="G465" s="24"/>
      <c r="H465" s="21" t="n">
        <f aca="false">IF(OR(E465="",D465&lt;&gt;"รายรับ"),0,E465)</f>
        <v>0</v>
      </c>
      <c r="I465" s="21" t="n">
        <f aca="false">IF(OR(E465="",D465&lt;&gt;"รายจ่าย"),0,E465)</f>
        <v>0</v>
      </c>
      <c r="J465" s="21" t="str">
        <f aca="false">IF(E465="","",ตั้งค่า!$B$4+SUM($H$5:H465)-SUM($I$5:I465))</f>
        <v/>
      </c>
      <c r="K465" s="22" t="str">
        <f aca="false">IF(A465="","",MONTH(A465))</f>
        <v/>
      </c>
      <c r="L465" s="22" t="str">
        <f aca="false">IF(A465="","",YEAR(A465))</f>
        <v/>
      </c>
    </row>
    <row r="466" customFormat="false" ht="15" hidden="false" customHeight="false" outlineLevel="0" collapsed="false">
      <c r="A466" s="23"/>
      <c r="B466" s="24"/>
      <c r="C466" s="24"/>
      <c r="D466" s="20" t="str">
        <f aca="false">IF(C466="","",IF(COUNTIF(ตั้งค่า!$A$7:$A$18,C466)&gt;0,"รายรับ",IF(COUNTIF(ตั้งค่า!$C$7:$C$31,C466)&gt;0,"รายจ่าย","ไม่พบหมวดหมู่")))</f>
        <v/>
      </c>
      <c r="E466" s="25"/>
      <c r="F466" s="24"/>
      <c r="G466" s="24"/>
      <c r="H466" s="21" t="n">
        <f aca="false">IF(OR(E466="",D466&lt;&gt;"รายรับ"),0,E466)</f>
        <v>0</v>
      </c>
      <c r="I466" s="21" t="n">
        <f aca="false">IF(OR(E466="",D466&lt;&gt;"รายจ่าย"),0,E466)</f>
        <v>0</v>
      </c>
      <c r="J466" s="21" t="str">
        <f aca="false">IF(E466="","",ตั้งค่า!$B$4+SUM($H$5:H466)-SUM($I$5:I466))</f>
        <v/>
      </c>
      <c r="K466" s="22" t="str">
        <f aca="false">IF(A466="","",MONTH(A466))</f>
        <v/>
      </c>
      <c r="L466" s="22" t="str">
        <f aca="false">IF(A466="","",YEAR(A466))</f>
        <v/>
      </c>
    </row>
    <row r="467" customFormat="false" ht="15" hidden="false" customHeight="false" outlineLevel="0" collapsed="false">
      <c r="A467" s="23"/>
      <c r="B467" s="24"/>
      <c r="C467" s="24"/>
      <c r="D467" s="20" t="str">
        <f aca="false">IF(C467="","",IF(COUNTIF(ตั้งค่า!$A$7:$A$18,C467)&gt;0,"รายรับ",IF(COUNTIF(ตั้งค่า!$C$7:$C$31,C467)&gt;0,"รายจ่าย","ไม่พบหมวดหมู่")))</f>
        <v/>
      </c>
      <c r="E467" s="25"/>
      <c r="F467" s="24"/>
      <c r="G467" s="24"/>
      <c r="H467" s="21" t="n">
        <f aca="false">IF(OR(E467="",D467&lt;&gt;"รายรับ"),0,E467)</f>
        <v>0</v>
      </c>
      <c r="I467" s="21" t="n">
        <f aca="false">IF(OR(E467="",D467&lt;&gt;"รายจ่าย"),0,E467)</f>
        <v>0</v>
      </c>
      <c r="J467" s="21" t="str">
        <f aca="false">IF(E467="","",ตั้งค่า!$B$4+SUM($H$5:H467)-SUM($I$5:I467))</f>
        <v/>
      </c>
      <c r="K467" s="22" t="str">
        <f aca="false">IF(A467="","",MONTH(A467))</f>
        <v/>
      </c>
      <c r="L467" s="22" t="str">
        <f aca="false">IF(A467="","",YEAR(A467))</f>
        <v/>
      </c>
    </row>
    <row r="468" customFormat="false" ht="15" hidden="false" customHeight="false" outlineLevel="0" collapsed="false">
      <c r="A468" s="23"/>
      <c r="B468" s="24"/>
      <c r="C468" s="24"/>
      <c r="D468" s="20" t="str">
        <f aca="false">IF(C468="","",IF(COUNTIF(ตั้งค่า!$A$7:$A$18,C468)&gt;0,"รายรับ",IF(COUNTIF(ตั้งค่า!$C$7:$C$31,C468)&gt;0,"รายจ่าย","ไม่พบหมวดหมู่")))</f>
        <v/>
      </c>
      <c r="E468" s="25"/>
      <c r="F468" s="24"/>
      <c r="G468" s="24"/>
      <c r="H468" s="21" t="n">
        <f aca="false">IF(OR(E468="",D468&lt;&gt;"รายรับ"),0,E468)</f>
        <v>0</v>
      </c>
      <c r="I468" s="21" t="n">
        <f aca="false">IF(OR(E468="",D468&lt;&gt;"รายจ่าย"),0,E468)</f>
        <v>0</v>
      </c>
      <c r="J468" s="21" t="str">
        <f aca="false">IF(E468="","",ตั้งค่า!$B$4+SUM($H$5:H468)-SUM($I$5:I468))</f>
        <v/>
      </c>
      <c r="K468" s="22" t="str">
        <f aca="false">IF(A468="","",MONTH(A468))</f>
        <v/>
      </c>
      <c r="L468" s="22" t="str">
        <f aca="false">IF(A468="","",YEAR(A468))</f>
        <v/>
      </c>
    </row>
    <row r="469" customFormat="false" ht="15" hidden="false" customHeight="false" outlineLevel="0" collapsed="false">
      <c r="A469" s="23"/>
      <c r="B469" s="24"/>
      <c r="C469" s="24"/>
      <c r="D469" s="20" t="str">
        <f aca="false">IF(C469="","",IF(COUNTIF(ตั้งค่า!$A$7:$A$18,C469)&gt;0,"รายรับ",IF(COUNTIF(ตั้งค่า!$C$7:$C$31,C469)&gt;0,"รายจ่าย","ไม่พบหมวดหมู่")))</f>
        <v/>
      </c>
      <c r="E469" s="25"/>
      <c r="F469" s="24"/>
      <c r="G469" s="24"/>
      <c r="H469" s="21" t="n">
        <f aca="false">IF(OR(E469="",D469&lt;&gt;"รายรับ"),0,E469)</f>
        <v>0</v>
      </c>
      <c r="I469" s="21" t="n">
        <f aca="false">IF(OR(E469="",D469&lt;&gt;"รายจ่าย"),0,E469)</f>
        <v>0</v>
      </c>
      <c r="J469" s="21" t="str">
        <f aca="false">IF(E469="","",ตั้งค่า!$B$4+SUM($H$5:H469)-SUM($I$5:I469))</f>
        <v/>
      </c>
      <c r="K469" s="22" t="str">
        <f aca="false">IF(A469="","",MONTH(A469))</f>
        <v/>
      </c>
      <c r="L469" s="22" t="str">
        <f aca="false">IF(A469="","",YEAR(A469))</f>
        <v/>
      </c>
    </row>
    <row r="470" customFormat="false" ht="15" hidden="false" customHeight="false" outlineLevel="0" collapsed="false">
      <c r="A470" s="23"/>
      <c r="B470" s="24"/>
      <c r="C470" s="24"/>
      <c r="D470" s="20" t="str">
        <f aca="false">IF(C470="","",IF(COUNTIF(ตั้งค่า!$A$7:$A$18,C470)&gt;0,"รายรับ",IF(COUNTIF(ตั้งค่า!$C$7:$C$31,C470)&gt;0,"รายจ่าย","ไม่พบหมวดหมู่")))</f>
        <v/>
      </c>
      <c r="E470" s="25"/>
      <c r="F470" s="24"/>
      <c r="G470" s="24"/>
      <c r="H470" s="21" t="n">
        <f aca="false">IF(OR(E470="",D470&lt;&gt;"รายรับ"),0,E470)</f>
        <v>0</v>
      </c>
      <c r="I470" s="21" t="n">
        <f aca="false">IF(OR(E470="",D470&lt;&gt;"รายจ่าย"),0,E470)</f>
        <v>0</v>
      </c>
      <c r="J470" s="21" t="str">
        <f aca="false">IF(E470="","",ตั้งค่า!$B$4+SUM($H$5:H470)-SUM($I$5:I470))</f>
        <v/>
      </c>
      <c r="K470" s="22" t="str">
        <f aca="false">IF(A470="","",MONTH(A470))</f>
        <v/>
      </c>
      <c r="L470" s="22" t="str">
        <f aca="false">IF(A470="","",YEAR(A470))</f>
        <v/>
      </c>
    </row>
    <row r="471" customFormat="false" ht="15" hidden="false" customHeight="false" outlineLevel="0" collapsed="false">
      <c r="A471" s="23"/>
      <c r="B471" s="24"/>
      <c r="C471" s="24"/>
      <c r="D471" s="20" t="str">
        <f aca="false">IF(C471="","",IF(COUNTIF(ตั้งค่า!$A$7:$A$18,C471)&gt;0,"รายรับ",IF(COUNTIF(ตั้งค่า!$C$7:$C$31,C471)&gt;0,"รายจ่าย","ไม่พบหมวดหมู่")))</f>
        <v/>
      </c>
      <c r="E471" s="25"/>
      <c r="F471" s="24"/>
      <c r="G471" s="24"/>
      <c r="H471" s="21" t="n">
        <f aca="false">IF(OR(E471="",D471&lt;&gt;"รายรับ"),0,E471)</f>
        <v>0</v>
      </c>
      <c r="I471" s="21" t="n">
        <f aca="false">IF(OR(E471="",D471&lt;&gt;"รายจ่าย"),0,E471)</f>
        <v>0</v>
      </c>
      <c r="J471" s="21" t="str">
        <f aca="false">IF(E471="","",ตั้งค่า!$B$4+SUM($H$5:H471)-SUM($I$5:I471))</f>
        <v/>
      </c>
      <c r="K471" s="22" t="str">
        <f aca="false">IF(A471="","",MONTH(A471))</f>
        <v/>
      </c>
      <c r="L471" s="22" t="str">
        <f aca="false">IF(A471="","",YEAR(A471))</f>
        <v/>
      </c>
    </row>
    <row r="472" customFormat="false" ht="15" hidden="false" customHeight="false" outlineLevel="0" collapsed="false">
      <c r="A472" s="23"/>
      <c r="B472" s="24"/>
      <c r="C472" s="24"/>
      <c r="D472" s="20" t="str">
        <f aca="false">IF(C472="","",IF(COUNTIF(ตั้งค่า!$A$7:$A$18,C472)&gt;0,"รายรับ",IF(COUNTIF(ตั้งค่า!$C$7:$C$31,C472)&gt;0,"รายจ่าย","ไม่พบหมวดหมู่")))</f>
        <v/>
      </c>
      <c r="E472" s="25"/>
      <c r="F472" s="24"/>
      <c r="G472" s="24"/>
      <c r="H472" s="21" t="n">
        <f aca="false">IF(OR(E472="",D472&lt;&gt;"รายรับ"),0,E472)</f>
        <v>0</v>
      </c>
      <c r="I472" s="21" t="n">
        <f aca="false">IF(OR(E472="",D472&lt;&gt;"รายจ่าย"),0,E472)</f>
        <v>0</v>
      </c>
      <c r="J472" s="21" t="str">
        <f aca="false">IF(E472="","",ตั้งค่า!$B$4+SUM($H$5:H472)-SUM($I$5:I472))</f>
        <v/>
      </c>
      <c r="K472" s="22" t="str">
        <f aca="false">IF(A472="","",MONTH(A472))</f>
        <v/>
      </c>
      <c r="L472" s="22" t="str">
        <f aca="false">IF(A472="","",YEAR(A472))</f>
        <v/>
      </c>
    </row>
    <row r="473" customFormat="false" ht="15" hidden="false" customHeight="false" outlineLevel="0" collapsed="false">
      <c r="A473" s="23"/>
      <c r="B473" s="24"/>
      <c r="C473" s="24"/>
      <c r="D473" s="20" t="str">
        <f aca="false">IF(C473="","",IF(COUNTIF(ตั้งค่า!$A$7:$A$18,C473)&gt;0,"รายรับ",IF(COUNTIF(ตั้งค่า!$C$7:$C$31,C473)&gt;0,"รายจ่าย","ไม่พบหมวดหมู่")))</f>
        <v/>
      </c>
      <c r="E473" s="25"/>
      <c r="F473" s="24"/>
      <c r="G473" s="24"/>
      <c r="H473" s="21" t="n">
        <f aca="false">IF(OR(E473="",D473&lt;&gt;"รายรับ"),0,E473)</f>
        <v>0</v>
      </c>
      <c r="I473" s="21" t="n">
        <f aca="false">IF(OR(E473="",D473&lt;&gt;"รายจ่าย"),0,E473)</f>
        <v>0</v>
      </c>
      <c r="J473" s="21" t="str">
        <f aca="false">IF(E473="","",ตั้งค่า!$B$4+SUM($H$5:H473)-SUM($I$5:I473))</f>
        <v/>
      </c>
      <c r="K473" s="22" t="str">
        <f aca="false">IF(A473="","",MONTH(A473))</f>
        <v/>
      </c>
      <c r="L473" s="22" t="str">
        <f aca="false">IF(A473="","",YEAR(A473))</f>
        <v/>
      </c>
    </row>
    <row r="474" customFormat="false" ht="15" hidden="false" customHeight="false" outlineLevel="0" collapsed="false">
      <c r="A474" s="23"/>
      <c r="B474" s="24"/>
      <c r="C474" s="24"/>
      <c r="D474" s="20" t="str">
        <f aca="false">IF(C474="","",IF(COUNTIF(ตั้งค่า!$A$7:$A$18,C474)&gt;0,"รายรับ",IF(COUNTIF(ตั้งค่า!$C$7:$C$31,C474)&gt;0,"รายจ่าย","ไม่พบหมวดหมู่")))</f>
        <v/>
      </c>
      <c r="E474" s="25"/>
      <c r="F474" s="24"/>
      <c r="G474" s="24"/>
      <c r="H474" s="21" t="n">
        <f aca="false">IF(OR(E474="",D474&lt;&gt;"รายรับ"),0,E474)</f>
        <v>0</v>
      </c>
      <c r="I474" s="21" t="n">
        <f aca="false">IF(OR(E474="",D474&lt;&gt;"รายจ่าย"),0,E474)</f>
        <v>0</v>
      </c>
      <c r="J474" s="21" t="str">
        <f aca="false">IF(E474="","",ตั้งค่า!$B$4+SUM($H$5:H474)-SUM($I$5:I474))</f>
        <v/>
      </c>
      <c r="K474" s="22" t="str">
        <f aca="false">IF(A474="","",MONTH(A474))</f>
        <v/>
      </c>
      <c r="L474" s="22" t="str">
        <f aca="false">IF(A474="","",YEAR(A474))</f>
        <v/>
      </c>
    </row>
    <row r="475" customFormat="false" ht="15" hidden="false" customHeight="false" outlineLevel="0" collapsed="false">
      <c r="A475" s="23"/>
      <c r="B475" s="24"/>
      <c r="C475" s="24"/>
      <c r="D475" s="20" t="str">
        <f aca="false">IF(C475="","",IF(COUNTIF(ตั้งค่า!$A$7:$A$18,C475)&gt;0,"รายรับ",IF(COUNTIF(ตั้งค่า!$C$7:$C$31,C475)&gt;0,"รายจ่าย","ไม่พบหมวดหมู่")))</f>
        <v/>
      </c>
      <c r="E475" s="25"/>
      <c r="F475" s="24"/>
      <c r="G475" s="24"/>
      <c r="H475" s="21" t="n">
        <f aca="false">IF(OR(E475="",D475&lt;&gt;"รายรับ"),0,E475)</f>
        <v>0</v>
      </c>
      <c r="I475" s="21" t="n">
        <f aca="false">IF(OR(E475="",D475&lt;&gt;"รายจ่าย"),0,E475)</f>
        <v>0</v>
      </c>
      <c r="J475" s="21" t="str">
        <f aca="false">IF(E475="","",ตั้งค่า!$B$4+SUM($H$5:H475)-SUM($I$5:I475))</f>
        <v/>
      </c>
      <c r="K475" s="22" t="str">
        <f aca="false">IF(A475="","",MONTH(A475))</f>
        <v/>
      </c>
      <c r="L475" s="22" t="str">
        <f aca="false">IF(A475="","",YEAR(A475))</f>
        <v/>
      </c>
    </row>
    <row r="476" customFormat="false" ht="15" hidden="false" customHeight="false" outlineLevel="0" collapsed="false">
      <c r="A476" s="23"/>
      <c r="B476" s="24"/>
      <c r="C476" s="24"/>
      <c r="D476" s="20" t="str">
        <f aca="false">IF(C476="","",IF(COUNTIF(ตั้งค่า!$A$7:$A$18,C476)&gt;0,"รายรับ",IF(COUNTIF(ตั้งค่า!$C$7:$C$31,C476)&gt;0,"รายจ่าย","ไม่พบหมวดหมู่")))</f>
        <v/>
      </c>
      <c r="E476" s="25"/>
      <c r="F476" s="24"/>
      <c r="G476" s="24"/>
      <c r="H476" s="21" t="n">
        <f aca="false">IF(OR(E476="",D476&lt;&gt;"รายรับ"),0,E476)</f>
        <v>0</v>
      </c>
      <c r="I476" s="21" t="n">
        <f aca="false">IF(OR(E476="",D476&lt;&gt;"รายจ่าย"),0,E476)</f>
        <v>0</v>
      </c>
      <c r="J476" s="21" t="str">
        <f aca="false">IF(E476="","",ตั้งค่า!$B$4+SUM($H$5:H476)-SUM($I$5:I476))</f>
        <v/>
      </c>
      <c r="K476" s="22" t="str">
        <f aca="false">IF(A476="","",MONTH(A476))</f>
        <v/>
      </c>
      <c r="L476" s="22" t="str">
        <f aca="false">IF(A476="","",YEAR(A476))</f>
        <v/>
      </c>
    </row>
    <row r="477" customFormat="false" ht="15" hidden="false" customHeight="false" outlineLevel="0" collapsed="false">
      <c r="A477" s="23"/>
      <c r="B477" s="24"/>
      <c r="C477" s="24"/>
      <c r="D477" s="20" t="str">
        <f aca="false">IF(C477="","",IF(COUNTIF(ตั้งค่า!$A$7:$A$18,C477)&gt;0,"รายรับ",IF(COUNTIF(ตั้งค่า!$C$7:$C$31,C477)&gt;0,"รายจ่าย","ไม่พบหมวดหมู่")))</f>
        <v/>
      </c>
      <c r="E477" s="25"/>
      <c r="F477" s="24"/>
      <c r="G477" s="24"/>
      <c r="H477" s="21" t="n">
        <f aca="false">IF(OR(E477="",D477&lt;&gt;"รายรับ"),0,E477)</f>
        <v>0</v>
      </c>
      <c r="I477" s="21" t="n">
        <f aca="false">IF(OR(E477="",D477&lt;&gt;"รายจ่าย"),0,E477)</f>
        <v>0</v>
      </c>
      <c r="J477" s="21" t="str">
        <f aca="false">IF(E477="","",ตั้งค่า!$B$4+SUM($H$5:H477)-SUM($I$5:I477))</f>
        <v/>
      </c>
      <c r="K477" s="22" t="str">
        <f aca="false">IF(A477="","",MONTH(A477))</f>
        <v/>
      </c>
      <c r="L477" s="22" t="str">
        <f aca="false">IF(A477="","",YEAR(A477))</f>
        <v/>
      </c>
    </row>
    <row r="478" customFormat="false" ht="15" hidden="false" customHeight="false" outlineLevel="0" collapsed="false">
      <c r="A478" s="23"/>
      <c r="B478" s="24"/>
      <c r="C478" s="24"/>
      <c r="D478" s="20" t="str">
        <f aca="false">IF(C478="","",IF(COUNTIF(ตั้งค่า!$A$7:$A$18,C478)&gt;0,"รายรับ",IF(COUNTIF(ตั้งค่า!$C$7:$C$31,C478)&gt;0,"รายจ่าย","ไม่พบหมวดหมู่")))</f>
        <v/>
      </c>
      <c r="E478" s="25"/>
      <c r="F478" s="24"/>
      <c r="G478" s="24"/>
      <c r="H478" s="21" t="n">
        <f aca="false">IF(OR(E478="",D478&lt;&gt;"รายรับ"),0,E478)</f>
        <v>0</v>
      </c>
      <c r="I478" s="21" t="n">
        <f aca="false">IF(OR(E478="",D478&lt;&gt;"รายจ่าย"),0,E478)</f>
        <v>0</v>
      </c>
      <c r="J478" s="21" t="str">
        <f aca="false">IF(E478="","",ตั้งค่า!$B$4+SUM($H$5:H478)-SUM($I$5:I478))</f>
        <v/>
      </c>
      <c r="K478" s="22" t="str">
        <f aca="false">IF(A478="","",MONTH(A478))</f>
        <v/>
      </c>
      <c r="L478" s="22" t="str">
        <f aca="false">IF(A478="","",YEAR(A478))</f>
        <v/>
      </c>
    </row>
    <row r="479" customFormat="false" ht="15" hidden="false" customHeight="false" outlineLevel="0" collapsed="false">
      <c r="A479" s="23"/>
      <c r="B479" s="24"/>
      <c r="C479" s="24"/>
      <c r="D479" s="20" t="str">
        <f aca="false">IF(C479="","",IF(COUNTIF(ตั้งค่า!$A$7:$A$18,C479)&gt;0,"รายรับ",IF(COUNTIF(ตั้งค่า!$C$7:$C$31,C479)&gt;0,"รายจ่าย","ไม่พบหมวดหมู่")))</f>
        <v/>
      </c>
      <c r="E479" s="25"/>
      <c r="F479" s="24"/>
      <c r="G479" s="24"/>
      <c r="H479" s="21" t="n">
        <f aca="false">IF(OR(E479="",D479&lt;&gt;"รายรับ"),0,E479)</f>
        <v>0</v>
      </c>
      <c r="I479" s="21" t="n">
        <f aca="false">IF(OR(E479="",D479&lt;&gt;"รายจ่าย"),0,E479)</f>
        <v>0</v>
      </c>
      <c r="J479" s="21" t="str">
        <f aca="false">IF(E479="","",ตั้งค่า!$B$4+SUM($H$5:H479)-SUM($I$5:I479))</f>
        <v/>
      </c>
      <c r="K479" s="22" t="str">
        <f aca="false">IF(A479="","",MONTH(A479))</f>
        <v/>
      </c>
      <c r="L479" s="22" t="str">
        <f aca="false">IF(A479="","",YEAR(A479))</f>
        <v/>
      </c>
    </row>
    <row r="480" customFormat="false" ht="15" hidden="false" customHeight="false" outlineLevel="0" collapsed="false">
      <c r="A480" s="23"/>
      <c r="B480" s="24"/>
      <c r="C480" s="24"/>
      <c r="D480" s="20" t="str">
        <f aca="false">IF(C480="","",IF(COUNTIF(ตั้งค่า!$A$7:$A$18,C480)&gt;0,"รายรับ",IF(COUNTIF(ตั้งค่า!$C$7:$C$31,C480)&gt;0,"รายจ่าย","ไม่พบหมวดหมู่")))</f>
        <v/>
      </c>
      <c r="E480" s="25"/>
      <c r="F480" s="24"/>
      <c r="G480" s="24"/>
      <c r="H480" s="21" t="n">
        <f aca="false">IF(OR(E480="",D480&lt;&gt;"รายรับ"),0,E480)</f>
        <v>0</v>
      </c>
      <c r="I480" s="21" t="n">
        <f aca="false">IF(OR(E480="",D480&lt;&gt;"รายจ่าย"),0,E480)</f>
        <v>0</v>
      </c>
      <c r="J480" s="21" t="str">
        <f aca="false">IF(E480="","",ตั้งค่า!$B$4+SUM($H$5:H480)-SUM($I$5:I480))</f>
        <v/>
      </c>
      <c r="K480" s="22" t="str">
        <f aca="false">IF(A480="","",MONTH(A480))</f>
        <v/>
      </c>
      <c r="L480" s="22" t="str">
        <f aca="false">IF(A480="","",YEAR(A480))</f>
        <v/>
      </c>
    </row>
    <row r="481" customFormat="false" ht="15" hidden="false" customHeight="false" outlineLevel="0" collapsed="false">
      <c r="A481" s="23"/>
      <c r="B481" s="24"/>
      <c r="C481" s="24"/>
      <c r="D481" s="20" t="str">
        <f aca="false">IF(C481="","",IF(COUNTIF(ตั้งค่า!$A$7:$A$18,C481)&gt;0,"รายรับ",IF(COUNTIF(ตั้งค่า!$C$7:$C$31,C481)&gt;0,"รายจ่าย","ไม่พบหมวดหมู่")))</f>
        <v/>
      </c>
      <c r="E481" s="25"/>
      <c r="F481" s="24"/>
      <c r="G481" s="24"/>
      <c r="H481" s="21" t="n">
        <f aca="false">IF(OR(E481="",D481&lt;&gt;"รายรับ"),0,E481)</f>
        <v>0</v>
      </c>
      <c r="I481" s="21" t="n">
        <f aca="false">IF(OR(E481="",D481&lt;&gt;"รายจ่าย"),0,E481)</f>
        <v>0</v>
      </c>
      <c r="J481" s="21" t="str">
        <f aca="false">IF(E481="","",ตั้งค่า!$B$4+SUM($H$5:H481)-SUM($I$5:I481))</f>
        <v/>
      </c>
      <c r="K481" s="22" t="str">
        <f aca="false">IF(A481="","",MONTH(A481))</f>
        <v/>
      </c>
      <c r="L481" s="22" t="str">
        <f aca="false">IF(A481="","",YEAR(A481))</f>
        <v/>
      </c>
    </row>
    <row r="482" customFormat="false" ht="15" hidden="false" customHeight="false" outlineLevel="0" collapsed="false">
      <c r="A482" s="23"/>
      <c r="B482" s="24"/>
      <c r="C482" s="24"/>
      <c r="D482" s="20" t="str">
        <f aca="false">IF(C482="","",IF(COUNTIF(ตั้งค่า!$A$7:$A$18,C482)&gt;0,"รายรับ",IF(COUNTIF(ตั้งค่า!$C$7:$C$31,C482)&gt;0,"รายจ่าย","ไม่พบหมวดหมู่")))</f>
        <v/>
      </c>
      <c r="E482" s="25"/>
      <c r="F482" s="24"/>
      <c r="G482" s="24"/>
      <c r="H482" s="21" t="n">
        <f aca="false">IF(OR(E482="",D482&lt;&gt;"รายรับ"),0,E482)</f>
        <v>0</v>
      </c>
      <c r="I482" s="21" t="n">
        <f aca="false">IF(OR(E482="",D482&lt;&gt;"รายจ่าย"),0,E482)</f>
        <v>0</v>
      </c>
      <c r="J482" s="21" t="str">
        <f aca="false">IF(E482="","",ตั้งค่า!$B$4+SUM($H$5:H482)-SUM($I$5:I482))</f>
        <v/>
      </c>
      <c r="K482" s="22" t="str">
        <f aca="false">IF(A482="","",MONTH(A482))</f>
        <v/>
      </c>
      <c r="L482" s="22" t="str">
        <f aca="false">IF(A482="","",YEAR(A482))</f>
        <v/>
      </c>
    </row>
    <row r="483" customFormat="false" ht="15" hidden="false" customHeight="false" outlineLevel="0" collapsed="false">
      <c r="A483" s="23"/>
      <c r="B483" s="24"/>
      <c r="C483" s="24"/>
      <c r="D483" s="20" t="str">
        <f aca="false">IF(C483="","",IF(COUNTIF(ตั้งค่า!$A$7:$A$18,C483)&gt;0,"รายรับ",IF(COUNTIF(ตั้งค่า!$C$7:$C$31,C483)&gt;0,"รายจ่าย","ไม่พบหมวดหมู่")))</f>
        <v/>
      </c>
      <c r="E483" s="25"/>
      <c r="F483" s="24"/>
      <c r="G483" s="24"/>
      <c r="H483" s="21" t="n">
        <f aca="false">IF(OR(E483="",D483&lt;&gt;"รายรับ"),0,E483)</f>
        <v>0</v>
      </c>
      <c r="I483" s="21" t="n">
        <f aca="false">IF(OR(E483="",D483&lt;&gt;"รายจ่าย"),0,E483)</f>
        <v>0</v>
      </c>
      <c r="J483" s="21" t="str">
        <f aca="false">IF(E483="","",ตั้งค่า!$B$4+SUM($H$5:H483)-SUM($I$5:I483))</f>
        <v/>
      </c>
      <c r="K483" s="22" t="str">
        <f aca="false">IF(A483="","",MONTH(A483))</f>
        <v/>
      </c>
      <c r="L483" s="22" t="str">
        <f aca="false">IF(A483="","",YEAR(A483))</f>
        <v/>
      </c>
    </row>
    <row r="484" customFormat="false" ht="15" hidden="false" customHeight="false" outlineLevel="0" collapsed="false">
      <c r="A484" s="23"/>
      <c r="B484" s="24"/>
      <c r="C484" s="24"/>
      <c r="D484" s="20" t="str">
        <f aca="false">IF(C484="","",IF(COUNTIF(ตั้งค่า!$A$7:$A$18,C484)&gt;0,"รายรับ",IF(COUNTIF(ตั้งค่า!$C$7:$C$31,C484)&gt;0,"รายจ่าย","ไม่พบหมวดหมู่")))</f>
        <v/>
      </c>
      <c r="E484" s="25"/>
      <c r="F484" s="24"/>
      <c r="G484" s="24"/>
      <c r="H484" s="21" t="n">
        <f aca="false">IF(OR(E484="",D484&lt;&gt;"รายรับ"),0,E484)</f>
        <v>0</v>
      </c>
      <c r="I484" s="21" t="n">
        <f aca="false">IF(OR(E484="",D484&lt;&gt;"รายจ่าย"),0,E484)</f>
        <v>0</v>
      </c>
      <c r="J484" s="21" t="str">
        <f aca="false">IF(E484="","",ตั้งค่า!$B$4+SUM($H$5:H484)-SUM($I$5:I484))</f>
        <v/>
      </c>
      <c r="K484" s="22" t="str">
        <f aca="false">IF(A484="","",MONTH(A484))</f>
        <v/>
      </c>
      <c r="L484" s="22" t="str">
        <f aca="false">IF(A484="","",YEAR(A484))</f>
        <v/>
      </c>
    </row>
    <row r="485" customFormat="false" ht="15" hidden="false" customHeight="false" outlineLevel="0" collapsed="false">
      <c r="A485" s="23"/>
      <c r="B485" s="24"/>
      <c r="C485" s="24"/>
      <c r="D485" s="20" t="str">
        <f aca="false">IF(C485="","",IF(COUNTIF(ตั้งค่า!$A$7:$A$18,C485)&gt;0,"รายรับ",IF(COUNTIF(ตั้งค่า!$C$7:$C$31,C485)&gt;0,"รายจ่าย","ไม่พบหมวดหมู่")))</f>
        <v/>
      </c>
      <c r="E485" s="25"/>
      <c r="F485" s="24"/>
      <c r="G485" s="24"/>
      <c r="H485" s="21" t="n">
        <f aca="false">IF(OR(E485="",D485&lt;&gt;"รายรับ"),0,E485)</f>
        <v>0</v>
      </c>
      <c r="I485" s="21" t="n">
        <f aca="false">IF(OR(E485="",D485&lt;&gt;"รายจ่าย"),0,E485)</f>
        <v>0</v>
      </c>
      <c r="J485" s="21" t="str">
        <f aca="false">IF(E485="","",ตั้งค่า!$B$4+SUM($H$5:H485)-SUM($I$5:I485))</f>
        <v/>
      </c>
      <c r="K485" s="22" t="str">
        <f aca="false">IF(A485="","",MONTH(A485))</f>
        <v/>
      </c>
      <c r="L485" s="22" t="str">
        <f aca="false">IF(A485="","",YEAR(A485))</f>
        <v/>
      </c>
    </row>
    <row r="486" customFormat="false" ht="15" hidden="false" customHeight="false" outlineLevel="0" collapsed="false">
      <c r="A486" s="23"/>
      <c r="B486" s="24"/>
      <c r="C486" s="24"/>
      <c r="D486" s="20" t="str">
        <f aca="false">IF(C486="","",IF(COUNTIF(ตั้งค่า!$A$7:$A$18,C486)&gt;0,"รายรับ",IF(COUNTIF(ตั้งค่า!$C$7:$C$31,C486)&gt;0,"รายจ่าย","ไม่พบหมวดหมู่")))</f>
        <v/>
      </c>
      <c r="E486" s="25"/>
      <c r="F486" s="24"/>
      <c r="G486" s="24"/>
      <c r="H486" s="21" t="n">
        <f aca="false">IF(OR(E486="",D486&lt;&gt;"รายรับ"),0,E486)</f>
        <v>0</v>
      </c>
      <c r="I486" s="21" t="n">
        <f aca="false">IF(OR(E486="",D486&lt;&gt;"รายจ่าย"),0,E486)</f>
        <v>0</v>
      </c>
      <c r="J486" s="21" t="str">
        <f aca="false">IF(E486="","",ตั้งค่า!$B$4+SUM($H$5:H486)-SUM($I$5:I486))</f>
        <v/>
      </c>
      <c r="K486" s="22" t="str">
        <f aca="false">IF(A486="","",MONTH(A486))</f>
        <v/>
      </c>
      <c r="L486" s="22" t="str">
        <f aca="false">IF(A486="","",YEAR(A486))</f>
        <v/>
      </c>
    </row>
    <row r="487" customFormat="false" ht="15" hidden="false" customHeight="false" outlineLevel="0" collapsed="false">
      <c r="A487" s="23"/>
      <c r="B487" s="24"/>
      <c r="C487" s="24"/>
      <c r="D487" s="20" t="str">
        <f aca="false">IF(C487="","",IF(COUNTIF(ตั้งค่า!$A$7:$A$18,C487)&gt;0,"รายรับ",IF(COUNTIF(ตั้งค่า!$C$7:$C$31,C487)&gt;0,"รายจ่าย","ไม่พบหมวดหมู่")))</f>
        <v/>
      </c>
      <c r="E487" s="25"/>
      <c r="F487" s="24"/>
      <c r="G487" s="24"/>
      <c r="H487" s="21" t="n">
        <f aca="false">IF(OR(E487="",D487&lt;&gt;"รายรับ"),0,E487)</f>
        <v>0</v>
      </c>
      <c r="I487" s="21" t="n">
        <f aca="false">IF(OR(E487="",D487&lt;&gt;"รายจ่าย"),0,E487)</f>
        <v>0</v>
      </c>
      <c r="J487" s="21" t="str">
        <f aca="false">IF(E487="","",ตั้งค่า!$B$4+SUM($H$5:H487)-SUM($I$5:I487))</f>
        <v/>
      </c>
      <c r="K487" s="22" t="str">
        <f aca="false">IF(A487="","",MONTH(A487))</f>
        <v/>
      </c>
      <c r="L487" s="22" t="str">
        <f aca="false">IF(A487="","",YEAR(A487))</f>
        <v/>
      </c>
    </row>
    <row r="488" customFormat="false" ht="15" hidden="false" customHeight="false" outlineLevel="0" collapsed="false">
      <c r="A488" s="23"/>
      <c r="B488" s="24"/>
      <c r="C488" s="24"/>
      <c r="D488" s="20" t="str">
        <f aca="false">IF(C488="","",IF(COUNTIF(ตั้งค่า!$A$7:$A$18,C488)&gt;0,"รายรับ",IF(COUNTIF(ตั้งค่า!$C$7:$C$31,C488)&gt;0,"รายจ่าย","ไม่พบหมวดหมู่")))</f>
        <v/>
      </c>
      <c r="E488" s="25"/>
      <c r="F488" s="24"/>
      <c r="G488" s="24"/>
      <c r="H488" s="21" t="n">
        <f aca="false">IF(OR(E488="",D488&lt;&gt;"รายรับ"),0,E488)</f>
        <v>0</v>
      </c>
      <c r="I488" s="21" t="n">
        <f aca="false">IF(OR(E488="",D488&lt;&gt;"รายจ่าย"),0,E488)</f>
        <v>0</v>
      </c>
      <c r="J488" s="21" t="str">
        <f aca="false">IF(E488="","",ตั้งค่า!$B$4+SUM($H$5:H488)-SUM($I$5:I488))</f>
        <v/>
      </c>
      <c r="K488" s="22" t="str">
        <f aca="false">IF(A488="","",MONTH(A488))</f>
        <v/>
      </c>
      <c r="L488" s="22" t="str">
        <f aca="false">IF(A488="","",YEAR(A488))</f>
        <v/>
      </c>
    </row>
    <row r="489" customFormat="false" ht="15" hidden="false" customHeight="false" outlineLevel="0" collapsed="false">
      <c r="A489" s="23"/>
      <c r="B489" s="24"/>
      <c r="C489" s="24"/>
      <c r="D489" s="20" t="str">
        <f aca="false">IF(C489="","",IF(COUNTIF(ตั้งค่า!$A$7:$A$18,C489)&gt;0,"รายรับ",IF(COUNTIF(ตั้งค่า!$C$7:$C$31,C489)&gt;0,"รายจ่าย","ไม่พบหมวดหมู่")))</f>
        <v/>
      </c>
      <c r="E489" s="25"/>
      <c r="F489" s="24"/>
      <c r="G489" s="24"/>
      <c r="H489" s="21" t="n">
        <f aca="false">IF(OR(E489="",D489&lt;&gt;"รายรับ"),0,E489)</f>
        <v>0</v>
      </c>
      <c r="I489" s="21" t="n">
        <f aca="false">IF(OR(E489="",D489&lt;&gt;"รายจ่าย"),0,E489)</f>
        <v>0</v>
      </c>
      <c r="J489" s="21" t="str">
        <f aca="false">IF(E489="","",ตั้งค่า!$B$4+SUM($H$5:H489)-SUM($I$5:I489))</f>
        <v/>
      </c>
      <c r="K489" s="22" t="str">
        <f aca="false">IF(A489="","",MONTH(A489))</f>
        <v/>
      </c>
      <c r="L489" s="22" t="str">
        <f aca="false">IF(A489="","",YEAR(A489))</f>
        <v/>
      </c>
    </row>
    <row r="490" customFormat="false" ht="15" hidden="false" customHeight="false" outlineLevel="0" collapsed="false">
      <c r="A490" s="23"/>
      <c r="B490" s="24"/>
      <c r="C490" s="24"/>
      <c r="D490" s="20" t="str">
        <f aca="false">IF(C490="","",IF(COUNTIF(ตั้งค่า!$A$7:$A$18,C490)&gt;0,"รายรับ",IF(COUNTIF(ตั้งค่า!$C$7:$C$31,C490)&gt;0,"รายจ่าย","ไม่พบหมวดหมู่")))</f>
        <v/>
      </c>
      <c r="E490" s="25"/>
      <c r="F490" s="24"/>
      <c r="G490" s="24"/>
      <c r="H490" s="21" t="n">
        <f aca="false">IF(OR(E490="",D490&lt;&gt;"รายรับ"),0,E490)</f>
        <v>0</v>
      </c>
      <c r="I490" s="21" t="n">
        <f aca="false">IF(OR(E490="",D490&lt;&gt;"รายจ่าย"),0,E490)</f>
        <v>0</v>
      </c>
      <c r="J490" s="21" t="str">
        <f aca="false">IF(E490="","",ตั้งค่า!$B$4+SUM($H$5:H490)-SUM($I$5:I490))</f>
        <v/>
      </c>
      <c r="K490" s="22" t="str">
        <f aca="false">IF(A490="","",MONTH(A490))</f>
        <v/>
      </c>
      <c r="L490" s="22" t="str">
        <f aca="false">IF(A490="","",YEAR(A490))</f>
        <v/>
      </c>
    </row>
    <row r="491" customFormat="false" ht="15" hidden="false" customHeight="false" outlineLevel="0" collapsed="false">
      <c r="A491" s="23"/>
      <c r="B491" s="24"/>
      <c r="C491" s="24"/>
      <c r="D491" s="20" t="str">
        <f aca="false">IF(C491="","",IF(COUNTIF(ตั้งค่า!$A$7:$A$18,C491)&gt;0,"รายรับ",IF(COUNTIF(ตั้งค่า!$C$7:$C$31,C491)&gt;0,"รายจ่าย","ไม่พบหมวดหมู่")))</f>
        <v/>
      </c>
      <c r="E491" s="25"/>
      <c r="F491" s="24"/>
      <c r="G491" s="24"/>
      <c r="H491" s="21" t="n">
        <f aca="false">IF(OR(E491="",D491&lt;&gt;"รายรับ"),0,E491)</f>
        <v>0</v>
      </c>
      <c r="I491" s="21" t="n">
        <f aca="false">IF(OR(E491="",D491&lt;&gt;"รายจ่าย"),0,E491)</f>
        <v>0</v>
      </c>
      <c r="J491" s="21" t="str">
        <f aca="false">IF(E491="","",ตั้งค่า!$B$4+SUM($H$5:H491)-SUM($I$5:I491))</f>
        <v/>
      </c>
      <c r="K491" s="22" t="str">
        <f aca="false">IF(A491="","",MONTH(A491))</f>
        <v/>
      </c>
      <c r="L491" s="22" t="str">
        <f aca="false">IF(A491="","",YEAR(A491))</f>
        <v/>
      </c>
    </row>
    <row r="492" customFormat="false" ht="15" hidden="false" customHeight="false" outlineLevel="0" collapsed="false">
      <c r="A492" s="23"/>
      <c r="B492" s="24"/>
      <c r="C492" s="24"/>
      <c r="D492" s="20" t="str">
        <f aca="false">IF(C492="","",IF(COUNTIF(ตั้งค่า!$A$7:$A$18,C492)&gt;0,"รายรับ",IF(COUNTIF(ตั้งค่า!$C$7:$C$31,C492)&gt;0,"รายจ่าย","ไม่พบหมวดหมู่")))</f>
        <v/>
      </c>
      <c r="E492" s="25"/>
      <c r="F492" s="24"/>
      <c r="G492" s="24"/>
      <c r="H492" s="21" t="n">
        <f aca="false">IF(OR(E492="",D492&lt;&gt;"รายรับ"),0,E492)</f>
        <v>0</v>
      </c>
      <c r="I492" s="21" t="n">
        <f aca="false">IF(OR(E492="",D492&lt;&gt;"รายจ่าย"),0,E492)</f>
        <v>0</v>
      </c>
      <c r="J492" s="21" t="str">
        <f aca="false">IF(E492="","",ตั้งค่า!$B$4+SUM($H$5:H492)-SUM($I$5:I492))</f>
        <v/>
      </c>
      <c r="K492" s="22" t="str">
        <f aca="false">IF(A492="","",MONTH(A492))</f>
        <v/>
      </c>
      <c r="L492" s="22" t="str">
        <f aca="false">IF(A492="","",YEAR(A492))</f>
        <v/>
      </c>
    </row>
    <row r="493" customFormat="false" ht="15" hidden="false" customHeight="false" outlineLevel="0" collapsed="false">
      <c r="A493" s="23"/>
      <c r="B493" s="24"/>
      <c r="C493" s="24"/>
      <c r="D493" s="20" t="str">
        <f aca="false">IF(C493="","",IF(COUNTIF(ตั้งค่า!$A$7:$A$18,C493)&gt;0,"รายรับ",IF(COUNTIF(ตั้งค่า!$C$7:$C$31,C493)&gt;0,"รายจ่าย","ไม่พบหมวดหมู่")))</f>
        <v/>
      </c>
      <c r="E493" s="25"/>
      <c r="F493" s="24"/>
      <c r="G493" s="24"/>
      <c r="H493" s="21" t="n">
        <f aca="false">IF(OR(E493="",D493&lt;&gt;"รายรับ"),0,E493)</f>
        <v>0</v>
      </c>
      <c r="I493" s="21" t="n">
        <f aca="false">IF(OR(E493="",D493&lt;&gt;"รายจ่าย"),0,E493)</f>
        <v>0</v>
      </c>
      <c r="J493" s="21" t="str">
        <f aca="false">IF(E493="","",ตั้งค่า!$B$4+SUM($H$5:H493)-SUM($I$5:I493))</f>
        <v/>
      </c>
      <c r="K493" s="22" t="str">
        <f aca="false">IF(A493="","",MONTH(A493))</f>
        <v/>
      </c>
      <c r="L493" s="22" t="str">
        <f aca="false">IF(A493="","",YEAR(A493))</f>
        <v/>
      </c>
    </row>
    <row r="494" customFormat="false" ht="15" hidden="false" customHeight="false" outlineLevel="0" collapsed="false">
      <c r="A494" s="23"/>
      <c r="B494" s="24"/>
      <c r="C494" s="24"/>
      <c r="D494" s="20" t="str">
        <f aca="false">IF(C494="","",IF(COUNTIF(ตั้งค่า!$A$7:$A$18,C494)&gt;0,"รายรับ",IF(COUNTIF(ตั้งค่า!$C$7:$C$31,C494)&gt;0,"รายจ่าย","ไม่พบหมวดหมู่")))</f>
        <v/>
      </c>
      <c r="E494" s="25"/>
      <c r="F494" s="24"/>
      <c r="G494" s="24"/>
      <c r="H494" s="21" t="n">
        <f aca="false">IF(OR(E494="",D494&lt;&gt;"รายรับ"),0,E494)</f>
        <v>0</v>
      </c>
      <c r="I494" s="21" t="n">
        <f aca="false">IF(OR(E494="",D494&lt;&gt;"รายจ่าย"),0,E494)</f>
        <v>0</v>
      </c>
      <c r="J494" s="21" t="str">
        <f aca="false">IF(E494="","",ตั้งค่า!$B$4+SUM($H$5:H494)-SUM($I$5:I494))</f>
        <v/>
      </c>
      <c r="K494" s="22" t="str">
        <f aca="false">IF(A494="","",MONTH(A494))</f>
        <v/>
      </c>
      <c r="L494" s="22" t="str">
        <f aca="false">IF(A494="","",YEAR(A494))</f>
        <v/>
      </c>
    </row>
    <row r="495" customFormat="false" ht="15" hidden="false" customHeight="false" outlineLevel="0" collapsed="false">
      <c r="A495" s="23"/>
      <c r="B495" s="24"/>
      <c r="C495" s="24"/>
      <c r="D495" s="20" t="str">
        <f aca="false">IF(C495="","",IF(COUNTIF(ตั้งค่า!$A$7:$A$18,C495)&gt;0,"รายรับ",IF(COUNTIF(ตั้งค่า!$C$7:$C$31,C495)&gt;0,"รายจ่าย","ไม่พบหมวดหมู่")))</f>
        <v/>
      </c>
      <c r="E495" s="25"/>
      <c r="F495" s="24"/>
      <c r="G495" s="24"/>
      <c r="H495" s="21" t="n">
        <f aca="false">IF(OR(E495="",D495&lt;&gt;"รายรับ"),0,E495)</f>
        <v>0</v>
      </c>
      <c r="I495" s="21" t="n">
        <f aca="false">IF(OR(E495="",D495&lt;&gt;"รายจ่าย"),0,E495)</f>
        <v>0</v>
      </c>
      <c r="J495" s="21" t="str">
        <f aca="false">IF(E495="","",ตั้งค่า!$B$4+SUM($H$5:H495)-SUM($I$5:I495))</f>
        <v/>
      </c>
      <c r="K495" s="22" t="str">
        <f aca="false">IF(A495="","",MONTH(A495))</f>
        <v/>
      </c>
      <c r="L495" s="22" t="str">
        <f aca="false">IF(A495="","",YEAR(A495))</f>
        <v/>
      </c>
    </row>
    <row r="496" customFormat="false" ht="15" hidden="false" customHeight="false" outlineLevel="0" collapsed="false">
      <c r="A496" s="23"/>
      <c r="B496" s="24"/>
      <c r="C496" s="24"/>
      <c r="D496" s="20" t="str">
        <f aca="false">IF(C496="","",IF(COUNTIF(ตั้งค่า!$A$7:$A$18,C496)&gt;0,"รายรับ",IF(COUNTIF(ตั้งค่า!$C$7:$C$31,C496)&gt;0,"รายจ่าย","ไม่พบหมวดหมู่")))</f>
        <v/>
      </c>
      <c r="E496" s="25"/>
      <c r="F496" s="24"/>
      <c r="G496" s="24"/>
      <c r="H496" s="21" t="n">
        <f aca="false">IF(OR(E496="",D496&lt;&gt;"รายรับ"),0,E496)</f>
        <v>0</v>
      </c>
      <c r="I496" s="21" t="n">
        <f aca="false">IF(OR(E496="",D496&lt;&gt;"รายจ่าย"),0,E496)</f>
        <v>0</v>
      </c>
      <c r="J496" s="21" t="str">
        <f aca="false">IF(E496="","",ตั้งค่า!$B$4+SUM($H$5:H496)-SUM($I$5:I496))</f>
        <v/>
      </c>
      <c r="K496" s="22" t="str">
        <f aca="false">IF(A496="","",MONTH(A496))</f>
        <v/>
      </c>
      <c r="L496" s="22" t="str">
        <f aca="false">IF(A496="","",YEAR(A496))</f>
        <v/>
      </c>
    </row>
    <row r="497" customFormat="false" ht="15" hidden="false" customHeight="false" outlineLevel="0" collapsed="false">
      <c r="A497" s="23"/>
      <c r="B497" s="24"/>
      <c r="C497" s="24"/>
      <c r="D497" s="20" t="str">
        <f aca="false">IF(C497="","",IF(COUNTIF(ตั้งค่า!$A$7:$A$18,C497)&gt;0,"รายรับ",IF(COUNTIF(ตั้งค่า!$C$7:$C$31,C497)&gt;0,"รายจ่าย","ไม่พบหมวดหมู่")))</f>
        <v/>
      </c>
      <c r="E497" s="25"/>
      <c r="F497" s="24"/>
      <c r="G497" s="24"/>
      <c r="H497" s="21" t="n">
        <f aca="false">IF(OR(E497="",D497&lt;&gt;"รายรับ"),0,E497)</f>
        <v>0</v>
      </c>
      <c r="I497" s="21" t="n">
        <f aca="false">IF(OR(E497="",D497&lt;&gt;"รายจ่าย"),0,E497)</f>
        <v>0</v>
      </c>
      <c r="J497" s="21" t="str">
        <f aca="false">IF(E497="","",ตั้งค่า!$B$4+SUM($H$5:H497)-SUM($I$5:I497))</f>
        <v/>
      </c>
      <c r="K497" s="22" t="str">
        <f aca="false">IF(A497="","",MONTH(A497))</f>
        <v/>
      </c>
      <c r="L497" s="22" t="str">
        <f aca="false">IF(A497="","",YEAR(A497))</f>
        <v/>
      </c>
    </row>
    <row r="498" customFormat="false" ht="15" hidden="false" customHeight="false" outlineLevel="0" collapsed="false">
      <c r="A498" s="23"/>
      <c r="B498" s="24"/>
      <c r="C498" s="24"/>
      <c r="D498" s="20" t="str">
        <f aca="false">IF(C498="","",IF(COUNTIF(ตั้งค่า!$A$7:$A$18,C498)&gt;0,"รายรับ",IF(COUNTIF(ตั้งค่า!$C$7:$C$31,C498)&gt;0,"รายจ่าย","ไม่พบหมวดหมู่")))</f>
        <v/>
      </c>
      <c r="E498" s="25"/>
      <c r="F498" s="24"/>
      <c r="G498" s="24"/>
      <c r="H498" s="21" t="n">
        <f aca="false">IF(OR(E498="",D498&lt;&gt;"รายรับ"),0,E498)</f>
        <v>0</v>
      </c>
      <c r="I498" s="21" t="n">
        <f aca="false">IF(OR(E498="",D498&lt;&gt;"รายจ่าย"),0,E498)</f>
        <v>0</v>
      </c>
      <c r="J498" s="21" t="str">
        <f aca="false">IF(E498="","",ตั้งค่า!$B$4+SUM($H$5:H498)-SUM($I$5:I498))</f>
        <v/>
      </c>
      <c r="K498" s="22" t="str">
        <f aca="false">IF(A498="","",MONTH(A498))</f>
        <v/>
      </c>
      <c r="L498" s="22" t="str">
        <f aca="false">IF(A498="","",YEAR(A498))</f>
        <v/>
      </c>
    </row>
    <row r="499" customFormat="false" ht="15" hidden="false" customHeight="false" outlineLevel="0" collapsed="false">
      <c r="A499" s="23"/>
      <c r="B499" s="24"/>
      <c r="C499" s="24"/>
      <c r="D499" s="20" t="str">
        <f aca="false">IF(C499="","",IF(COUNTIF(ตั้งค่า!$A$7:$A$18,C499)&gt;0,"รายรับ",IF(COUNTIF(ตั้งค่า!$C$7:$C$31,C499)&gt;0,"รายจ่าย","ไม่พบหมวดหมู่")))</f>
        <v/>
      </c>
      <c r="E499" s="25"/>
      <c r="F499" s="24"/>
      <c r="G499" s="24"/>
      <c r="H499" s="21" t="n">
        <f aca="false">IF(OR(E499="",D499&lt;&gt;"รายรับ"),0,E499)</f>
        <v>0</v>
      </c>
      <c r="I499" s="21" t="n">
        <f aca="false">IF(OR(E499="",D499&lt;&gt;"รายจ่าย"),0,E499)</f>
        <v>0</v>
      </c>
      <c r="J499" s="21" t="str">
        <f aca="false">IF(E499="","",ตั้งค่า!$B$4+SUM($H$5:H499)-SUM($I$5:I499))</f>
        <v/>
      </c>
      <c r="K499" s="22" t="str">
        <f aca="false">IF(A499="","",MONTH(A499))</f>
        <v/>
      </c>
      <c r="L499" s="22" t="str">
        <f aca="false">IF(A499="","",YEAR(A499))</f>
        <v/>
      </c>
    </row>
    <row r="500" customFormat="false" ht="15" hidden="false" customHeight="false" outlineLevel="0" collapsed="false">
      <c r="A500" s="23"/>
      <c r="B500" s="24"/>
      <c r="C500" s="24"/>
      <c r="D500" s="20" t="str">
        <f aca="false">IF(C500="","",IF(COUNTIF(ตั้งค่า!$A$7:$A$18,C500)&gt;0,"รายรับ",IF(COUNTIF(ตั้งค่า!$C$7:$C$31,C500)&gt;0,"รายจ่าย","ไม่พบหมวดหมู่")))</f>
        <v/>
      </c>
      <c r="E500" s="25"/>
      <c r="F500" s="24"/>
      <c r="G500" s="24"/>
      <c r="H500" s="21" t="n">
        <f aca="false">IF(OR(E500="",D500&lt;&gt;"รายรับ"),0,E500)</f>
        <v>0</v>
      </c>
      <c r="I500" s="21" t="n">
        <f aca="false">IF(OR(E500="",D500&lt;&gt;"รายจ่าย"),0,E500)</f>
        <v>0</v>
      </c>
      <c r="J500" s="21" t="str">
        <f aca="false">IF(E500="","",ตั้งค่า!$B$4+SUM($H$5:H500)-SUM($I$5:I500))</f>
        <v/>
      </c>
      <c r="K500" s="22" t="str">
        <f aca="false">IF(A500="","",MONTH(A500))</f>
        <v/>
      </c>
      <c r="L500" s="22" t="str">
        <f aca="false">IF(A500="","",YEAR(A500))</f>
        <v/>
      </c>
    </row>
    <row r="501" customFormat="false" ht="15" hidden="false" customHeight="false" outlineLevel="0" collapsed="false">
      <c r="A501" s="23"/>
      <c r="B501" s="24"/>
      <c r="C501" s="24"/>
      <c r="D501" s="20" t="str">
        <f aca="false">IF(C501="","",IF(COUNTIF(ตั้งค่า!$A$7:$A$18,C501)&gt;0,"รายรับ",IF(COUNTIF(ตั้งค่า!$C$7:$C$31,C501)&gt;0,"รายจ่าย","ไม่พบหมวดหมู่")))</f>
        <v/>
      </c>
      <c r="E501" s="25"/>
      <c r="F501" s="24"/>
      <c r="G501" s="24"/>
      <c r="H501" s="21" t="n">
        <f aca="false">IF(OR(E501="",D501&lt;&gt;"รายรับ"),0,E501)</f>
        <v>0</v>
      </c>
      <c r="I501" s="21" t="n">
        <f aca="false">IF(OR(E501="",D501&lt;&gt;"รายจ่าย"),0,E501)</f>
        <v>0</v>
      </c>
      <c r="J501" s="21" t="str">
        <f aca="false">IF(E501="","",ตั้งค่า!$B$4+SUM($H$5:H501)-SUM($I$5:I501))</f>
        <v/>
      </c>
      <c r="K501" s="22" t="str">
        <f aca="false">IF(A501="","",MONTH(A501))</f>
        <v/>
      </c>
      <c r="L501" s="22" t="str">
        <f aca="false">IF(A501="","",YEAR(A501))</f>
        <v/>
      </c>
    </row>
    <row r="502" customFormat="false" ht="15" hidden="false" customHeight="false" outlineLevel="0" collapsed="false">
      <c r="A502" s="23"/>
      <c r="B502" s="24"/>
      <c r="C502" s="24"/>
      <c r="D502" s="20" t="str">
        <f aca="false">IF(C502="","",IF(COUNTIF(ตั้งค่า!$A$7:$A$18,C502)&gt;0,"รายรับ",IF(COUNTIF(ตั้งค่า!$C$7:$C$31,C502)&gt;0,"รายจ่าย","ไม่พบหมวดหมู่")))</f>
        <v/>
      </c>
      <c r="E502" s="25"/>
      <c r="F502" s="24"/>
      <c r="G502" s="24"/>
      <c r="H502" s="21" t="n">
        <f aca="false">IF(OR(E502="",D502&lt;&gt;"รายรับ"),0,E502)</f>
        <v>0</v>
      </c>
      <c r="I502" s="21" t="n">
        <f aca="false">IF(OR(E502="",D502&lt;&gt;"รายจ่าย"),0,E502)</f>
        <v>0</v>
      </c>
      <c r="J502" s="21" t="str">
        <f aca="false">IF(E502="","",ตั้งค่า!$B$4+SUM($H$5:H502)-SUM($I$5:I502))</f>
        <v/>
      </c>
      <c r="K502" s="22" t="str">
        <f aca="false">IF(A502="","",MONTH(A502))</f>
        <v/>
      </c>
      <c r="L502" s="22" t="str">
        <f aca="false">IF(A502="","",YEAR(A502))</f>
        <v/>
      </c>
    </row>
    <row r="503" customFormat="false" ht="15" hidden="false" customHeight="false" outlineLevel="0" collapsed="false">
      <c r="A503" s="23"/>
      <c r="B503" s="24"/>
      <c r="C503" s="24"/>
      <c r="D503" s="20" t="str">
        <f aca="false">IF(C503="","",IF(COUNTIF(ตั้งค่า!$A$7:$A$18,C503)&gt;0,"รายรับ",IF(COUNTIF(ตั้งค่า!$C$7:$C$31,C503)&gt;0,"รายจ่าย","ไม่พบหมวดหมู่")))</f>
        <v/>
      </c>
      <c r="E503" s="25"/>
      <c r="F503" s="24"/>
      <c r="G503" s="24"/>
      <c r="H503" s="21" t="n">
        <f aca="false">IF(OR(E503="",D503&lt;&gt;"รายรับ"),0,E503)</f>
        <v>0</v>
      </c>
      <c r="I503" s="21" t="n">
        <f aca="false">IF(OR(E503="",D503&lt;&gt;"รายจ่าย"),0,E503)</f>
        <v>0</v>
      </c>
      <c r="J503" s="21" t="str">
        <f aca="false">IF(E503="","",ตั้งค่า!$B$4+SUM($H$5:H503)-SUM($I$5:I503))</f>
        <v/>
      </c>
      <c r="K503" s="22" t="str">
        <f aca="false">IF(A503="","",MONTH(A503))</f>
        <v/>
      </c>
      <c r="L503" s="22" t="str">
        <f aca="false">IF(A503="","",YEAR(A503))</f>
        <v/>
      </c>
    </row>
    <row r="504" customFormat="false" ht="15" hidden="false" customHeight="false" outlineLevel="0" collapsed="false">
      <c r="A504" s="23"/>
      <c r="B504" s="24"/>
      <c r="C504" s="24"/>
      <c r="D504" s="20" t="str">
        <f aca="false">IF(C504="","",IF(COUNTIF(ตั้งค่า!$A$7:$A$18,C504)&gt;0,"รายรับ",IF(COUNTIF(ตั้งค่า!$C$7:$C$31,C504)&gt;0,"รายจ่าย","ไม่พบหมวดหมู่")))</f>
        <v/>
      </c>
      <c r="E504" s="25"/>
      <c r="F504" s="24"/>
      <c r="G504" s="24"/>
      <c r="H504" s="21" t="n">
        <f aca="false">IF(OR(E504="",D504&lt;&gt;"รายรับ"),0,E504)</f>
        <v>0</v>
      </c>
      <c r="I504" s="21" t="n">
        <f aca="false">IF(OR(E504="",D504&lt;&gt;"รายจ่าย"),0,E504)</f>
        <v>0</v>
      </c>
      <c r="J504" s="21" t="str">
        <f aca="false">IF(E504="","",ตั้งค่า!$B$4+SUM($H$5:H504)-SUM($I$5:I504))</f>
        <v/>
      </c>
      <c r="K504" s="22" t="str">
        <f aca="false">IF(A504="","",MONTH(A504))</f>
        <v/>
      </c>
      <c r="L504" s="22" t="str">
        <f aca="false">IF(A504="","",YEAR(A504))</f>
        <v/>
      </c>
    </row>
    <row r="505" customFormat="false" ht="15" hidden="false" customHeight="false" outlineLevel="0" collapsed="false">
      <c r="A505" s="23"/>
      <c r="B505" s="24"/>
      <c r="C505" s="24"/>
      <c r="D505" s="20" t="str">
        <f aca="false">IF(C505="","",IF(COUNTIF(ตั้งค่า!$A$7:$A$18,C505)&gt;0,"รายรับ",IF(COUNTIF(ตั้งค่า!$C$7:$C$31,C505)&gt;0,"รายจ่าย","ไม่พบหมวดหมู่")))</f>
        <v/>
      </c>
      <c r="E505" s="25"/>
      <c r="F505" s="24"/>
      <c r="G505" s="24"/>
      <c r="H505" s="21" t="n">
        <f aca="false">IF(OR(E505="",D505&lt;&gt;"รายรับ"),0,E505)</f>
        <v>0</v>
      </c>
      <c r="I505" s="21" t="n">
        <f aca="false">IF(OR(E505="",D505&lt;&gt;"รายจ่าย"),0,E505)</f>
        <v>0</v>
      </c>
      <c r="J505" s="21" t="str">
        <f aca="false">IF(E505="","",ตั้งค่า!$B$4+SUM($H$5:H505)-SUM($I$5:I505))</f>
        <v/>
      </c>
      <c r="K505" s="22" t="str">
        <f aca="false">IF(A505="","",MONTH(A505))</f>
        <v/>
      </c>
      <c r="L505" s="22" t="str">
        <f aca="false">IF(A505="","",YEAR(A505))</f>
        <v/>
      </c>
    </row>
    <row r="506" customFormat="false" ht="15" hidden="false" customHeight="false" outlineLevel="0" collapsed="false">
      <c r="A506" s="23"/>
      <c r="B506" s="24"/>
      <c r="C506" s="24"/>
      <c r="D506" s="20" t="str">
        <f aca="false">IF(C506="","",IF(COUNTIF(ตั้งค่า!$A$7:$A$18,C506)&gt;0,"รายรับ",IF(COUNTIF(ตั้งค่า!$C$7:$C$31,C506)&gt;0,"รายจ่าย","ไม่พบหมวดหมู่")))</f>
        <v/>
      </c>
      <c r="E506" s="25"/>
      <c r="F506" s="24"/>
      <c r="G506" s="24"/>
      <c r="H506" s="21" t="n">
        <f aca="false">IF(OR(E506="",D506&lt;&gt;"รายรับ"),0,E506)</f>
        <v>0</v>
      </c>
      <c r="I506" s="21" t="n">
        <f aca="false">IF(OR(E506="",D506&lt;&gt;"รายจ่าย"),0,E506)</f>
        <v>0</v>
      </c>
      <c r="J506" s="21" t="str">
        <f aca="false">IF(E506="","",ตั้งค่า!$B$4+SUM($H$5:H506)-SUM($I$5:I506))</f>
        <v/>
      </c>
      <c r="K506" s="22" t="str">
        <f aca="false">IF(A506="","",MONTH(A506))</f>
        <v/>
      </c>
      <c r="L506" s="22" t="str">
        <f aca="false">IF(A506="","",YEAR(A506))</f>
        <v/>
      </c>
    </row>
    <row r="507" customFormat="false" ht="15" hidden="false" customHeight="false" outlineLevel="0" collapsed="false">
      <c r="A507" s="23"/>
      <c r="B507" s="24"/>
      <c r="C507" s="24"/>
      <c r="D507" s="20" t="str">
        <f aca="false">IF(C507="","",IF(COUNTIF(ตั้งค่า!$A$7:$A$18,C507)&gt;0,"รายรับ",IF(COUNTIF(ตั้งค่า!$C$7:$C$31,C507)&gt;0,"รายจ่าย","ไม่พบหมวดหมู่")))</f>
        <v/>
      </c>
      <c r="E507" s="25"/>
      <c r="F507" s="24"/>
      <c r="G507" s="24"/>
      <c r="H507" s="21" t="n">
        <f aca="false">IF(OR(E507="",D507&lt;&gt;"รายรับ"),0,E507)</f>
        <v>0</v>
      </c>
      <c r="I507" s="21" t="n">
        <f aca="false">IF(OR(E507="",D507&lt;&gt;"รายจ่าย"),0,E507)</f>
        <v>0</v>
      </c>
      <c r="J507" s="21" t="str">
        <f aca="false">IF(E507="","",ตั้งค่า!$B$4+SUM($H$5:H507)-SUM($I$5:I507))</f>
        <v/>
      </c>
      <c r="K507" s="22" t="str">
        <f aca="false">IF(A507="","",MONTH(A507))</f>
        <v/>
      </c>
      <c r="L507" s="22" t="str">
        <f aca="false">IF(A507="","",YEAR(A507))</f>
        <v/>
      </c>
    </row>
    <row r="508" customFormat="false" ht="15" hidden="false" customHeight="false" outlineLevel="0" collapsed="false">
      <c r="A508" s="23"/>
      <c r="B508" s="24"/>
      <c r="C508" s="24"/>
      <c r="D508" s="20" t="str">
        <f aca="false">IF(C508="","",IF(COUNTIF(ตั้งค่า!$A$7:$A$18,C508)&gt;0,"รายรับ",IF(COUNTIF(ตั้งค่า!$C$7:$C$31,C508)&gt;0,"รายจ่าย","ไม่พบหมวดหมู่")))</f>
        <v/>
      </c>
      <c r="E508" s="25"/>
      <c r="F508" s="24"/>
      <c r="G508" s="24"/>
      <c r="H508" s="21" t="n">
        <f aca="false">IF(OR(E508="",D508&lt;&gt;"รายรับ"),0,E508)</f>
        <v>0</v>
      </c>
      <c r="I508" s="21" t="n">
        <f aca="false">IF(OR(E508="",D508&lt;&gt;"รายจ่าย"),0,E508)</f>
        <v>0</v>
      </c>
      <c r="J508" s="21" t="str">
        <f aca="false">IF(E508="","",ตั้งค่า!$B$4+SUM($H$5:H508)-SUM($I$5:I508))</f>
        <v/>
      </c>
      <c r="K508" s="22" t="str">
        <f aca="false">IF(A508="","",MONTH(A508))</f>
        <v/>
      </c>
      <c r="L508" s="22" t="str">
        <f aca="false">IF(A508="","",YEAR(A508))</f>
        <v/>
      </c>
    </row>
    <row r="509" customFormat="false" ht="15" hidden="false" customHeight="false" outlineLevel="0" collapsed="false">
      <c r="A509" s="23"/>
      <c r="B509" s="24"/>
      <c r="C509" s="24"/>
      <c r="D509" s="20" t="str">
        <f aca="false">IF(C509="","",IF(COUNTIF(ตั้งค่า!$A$7:$A$18,C509)&gt;0,"รายรับ",IF(COUNTIF(ตั้งค่า!$C$7:$C$31,C509)&gt;0,"รายจ่าย","ไม่พบหมวดหมู่")))</f>
        <v/>
      </c>
      <c r="E509" s="25"/>
      <c r="F509" s="24"/>
      <c r="G509" s="24"/>
      <c r="H509" s="21" t="n">
        <f aca="false">IF(OR(E509="",D509&lt;&gt;"รายรับ"),0,E509)</f>
        <v>0</v>
      </c>
      <c r="I509" s="21" t="n">
        <f aca="false">IF(OR(E509="",D509&lt;&gt;"รายจ่าย"),0,E509)</f>
        <v>0</v>
      </c>
      <c r="J509" s="21" t="str">
        <f aca="false">IF(E509="","",ตั้งค่า!$B$4+SUM($H$5:H509)-SUM($I$5:I509))</f>
        <v/>
      </c>
      <c r="K509" s="22" t="str">
        <f aca="false">IF(A509="","",MONTH(A509))</f>
        <v/>
      </c>
      <c r="L509" s="22" t="str">
        <f aca="false">IF(A509="","",YEAR(A509))</f>
        <v/>
      </c>
    </row>
    <row r="510" customFormat="false" ht="15" hidden="false" customHeight="false" outlineLevel="0" collapsed="false">
      <c r="A510" s="23"/>
      <c r="B510" s="24"/>
      <c r="C510" s="24"/>
      <c r="D510" s="20" t="str">
        <f aca="false">IF(C510="","",IF(COUNTIF(ตั้งค่า!$A$7:$A$18,C510)&gt;0,"รายรับ",IF(COUNTIF(ตั้งค่า!$C$7:$C$31,C510)&gt;0,"รายจ่าย","ไม่พบหมวดหมู่")))</f>
        <v/>
      </c>
      <c r="E510" s="25"/>
      <c r="F510" s="24"/>
      <c r="G510" s="24"/>
      <c r="H510" s="21" t="n">
        <f aca="false">IF(OR(E510="",D510&lt;&gt;"รายรับ"),0,E510)</f>
        <v>0</v>
      </c>
      <c r="I510" s="21" t="n">
        <f aca="false">IF(OR(E510="",D510&lt;&gt;"รายจ่าย"),0,E510)</f>
        <v>0</v>
      </c>
      <c r="J510" s="21" t="str">
        <f aca="false">IF(E510="","",ตั้งค่า!$B$4+SUM($H$5:H510)-SUM($I$5:I510))</f>
        <v/>
      </c>
      <c r="K510" s="22" t="str">
        <f aca="false">IF(A510="","",MONTH(A510))</f>
        <v/>
      </c>
      <c r="L510" s="22" t="str">
        <f aca="false">IF(A510="","",YEAR(A510))</f>
        <v/>
      </c>
    </row>
    <row r="511" customFormat="false" ht="15" hidden="false" customHeight="false" outlineLevel="0" collapsed="false">
      <c r="A511" s="23"/>
      <c r="B511" s="24"/>
      <c r="C511" s="24"/>
      <c r="D511" s="20" t="str">
        <f aca="false">IF(C511="","",IF(COUNTIF(ตั้งค่า!$A$7:$A$18,C511)&gt;0,"รายรับ",IF(COUNTIF(ตั้งค่า!$C$7:$C$31,C511)&gt;0,"รายจ่าย","ไม่พบหมวดหมู่")))</f>
        <v/>
      </c>
      <c r="E511" s="25"/>
      <c r="F511" s="24"/>
      <c r="G511" s="24"/>
      <c r="H511" s="21" t="n">
        <f aca="false">IF(OR(E511="",D511&lt;&gt;"รายรับ"),0,E511)</f>
        <v>0</v>
      </c>
      <c r="I511" s="21" t="n">
        <f aca="false">IF(OR(E511="",D511&lt;&gt;"รายจ่าย"),0,E511)</f>
        <v>0</v>
      </c>
      <c r="J511" s="21" t="str">
        <f aca="false">IF(E511="","",ตั้งค่า!$B$4+SUM($H$5:H511)-SUM($I$5:I511))</f>
        <v/>
      </c>
      <c r="K511" s="22" t="str">
        <f aca="false">IF(A511="","",MONTH(A511))</f>
        <v/>
      </c>
      <c r="L511" s="22" t="str">
        <f aca="false">IF(A511="","",YEAR(A511))</f>
        <v/>
      </c>
    </row>
    <row r="512" customFormat="false" ht="15" hidden="false" customHeight="false" outlineLevel="0" collapsed="false">
      <c r="A512" s="23"/>
      <c r="B512" s="24"/>
      <c r="C512" s="24"/>
      <c r="D512" s="20" t="str">
        <f aca="false">IF(C512="","",IF(COUNTIF(ตั้งค่า!$A$7:$A$18,C512)&gt;0,"รายรับ",IF(COUNTIF(ตั้งค่า!$C$7:$C$31,C512)&gt;0,"รายจ่าย","ไม่พบหมวดหมู่")))</f>
        <v/>
      </c>
      <c r="E512" s="25"/>
      <c r="F512" s="24"/>
      <c r="G512" s="24"/>
      <c r="H512" s="21" t="n">
        <f aca="false">IF(OR(E512="",D512&lt;&gt;"รายรับ"),0,E512)</f>
        <v>0</v>
      </c>
      <c r="I512" s="21" t="n">
        <f aca="false">IF(OR(E512="",D512&lt;&gt;"รายจ่าย"),0,E512)</f>
        <v>0</v>
      </c>
      <c r="J512" s="21" t="str">
        <f aca="false">IF(E512="","",ตั้งค่า!$B$4+SUM($H$5:H512)-SUM($I$5:I512))</f>
        <v/>
      </c>
      <c r="K512" s="22" t="str">
        <f aca="false">IF(A512="","",MONTH(A512))</f>
        <v/>
      </c>
      <c r="L512" s="22" t="str">
        <f aca="false">IF(A512="","",YEAR(A512))</f>
        <v/>
      </c>
    </row>
    <row r="513" customFormat="false" ht="15" hidden="false" customHeight="false" outlineLevel="0" collapsed="false">
      <c r="A513" s="23"/>
      <c r="B513" s="24"/>
      <c r="C513" s="24"/>
      <c r="D513" s="20" t="str">
        <f aca="false">IF(C513="","",IF(COUNTIF(ตั้งค่า!$A$7:$A$18,C513)&gt;0,"รายรับ",IF(COUNTIF(ตั้งค่า!$C$7:$C$31,C513)&gt;0,"รายจ่าย","ไม่พบหมวดหมู่")))</f>
        <v/>
      </c>
      <c r="E513" s="25"/>
      <c r="F513" s="24"/>
      <c r="G513" s="24"/>
      <c r="H513" s="21" t="n">
        <f aca="false">IF(OR(E513="",D513&lt;&gt;"รายรับ"),0,E513)</f>
        <v>0</v>
      </c>
      <c r="I513" s="21" t="n">
        <f aca="false">IF(OR(E513="",D513&lt;&gt;"รายจ่าย"),0,E513)</f>
        <v>0</v>
      </c>
      <c r="J513" s="21" t="str">
        <f aca="false">IF(E513="","",ตั้งค่า!$B$4+SUM($H$5:H513)-SUM($I$5:I513))</f>
        <v/>
      </c>
      <c r="K513" s="22" t="str">
        <f aca="false">IF(A513="","",MONTH(A513))</f>
        <v/>
      </c>
      <c r="L513" s="22" t="str">
        <f aca="false">IF(A513="","",YEAR(A513))</f>
        <v/>
      </c>
    </row>
    <row r="514" customFormat="false" ht="15" hidden="false" customHeight="false" outlineLevel="0" collapsed="false">
      <c r="A514" s="23"/>
      <c r="B514" s="24"/>
      <c r="C514" s="24"/>
      <c r="D514" s="20" t="str">
        <f aca="false">IF(C514="","",IF(COUNTIF(ตั้งค่า!$A$7:$A$18,C514)&gt;0,"รายรับ",IF(COUNTIF(ตั้งค่า!$C$7:$C$31,C514)&gt;0,"รายจ่าย","ไม่พบหมวดหมู่")))</f>
        <v/>
      </c>
      <c r="E514" s="25"/>
      <c r="F514" s="24"/>
      <c r="G514" s="24"/>
      <c r="H514" s="21" t="n">
        <f aca="false">IF(OR(E514="",D514&lt;&gt;"รายรับ"),0,E514)</f>
        <v>0</v>
      </c>
      <c r="I514" s="21" t="n">
        <f aca="false">IF(OR(E514="",D514&lt;&gt;"รายจ่าย"),0,E514)</f>
        <v>0</v>
      </c>
      <c r="J514" s="21" t="str">
        <f aca="false">IF(E514="","",ตั้งค่า!$B$4+SUM($H$5:H514)-SUM($I$5:I514))</f>
        <v/>
      </c>
      <c r="K514" s="22" t="str">
        <f aca="false">IF(A514="","",MONTH(A514))</f>
        <v/>
      </c>
      <c r="L514" s="22" t="str">
        <f aca="false">IF(A514="","",YEAR(A514))</f>
        <v/>
      </c>
    </row>
    <row r="515" customFormat="false" ht="15" hidden="false" customHeight="false" outlineLevel="0" collapsed="false">
      <c r="A515" s="23"/>
      <c r="B515" s="24"/>
      <c r="C515" s="24"/>
      <c r="D515" s="20" t="str">
        <f aca="false">IF(C515="","",IF(COUNTIF(ตั้งค่า!$A$7:$A$18,C515)&gt;0,"รายรับ",IF(COUNTIF(ตั้งค่า!$C$7:$C$31,C515)&gt;0,"รายจ่าย","ไม่พบหมวดหมู่")))</f>
        <v/>
      </c>
      <c r="E515" s="25"/>
      <c r="F515" s="24"/>
      <c r="G515" s="24"/>
      <c r="H515" s="21" t="n">
        <f aca="false">IF(OR(E515="",D515&lt;&gt;"รายรับ"),0,E515)</f>
        <v>0</v>
      </c>
      <c r="I515" s="21" t="n">
        <f aca="false">IF(OR(E515="",D515&lt;&gt;"รายจ่าย"),0,E515)</f>
        <v>0</v>
      </c>
      <c r="J515" s="21" t="str">
        <f aca="false">IF(E515="","",ตั้งค่า!$B$4+SUM($H$5:H515)-SUM($I$5:I515))</f>
        <v/>
      </c>
      <c r="K515" s="22" t="str">
        <f aca="false">IF(A515="","",MONTH(A515))</f>
        <v/>
      </c>
      <c r="L515" s="22" t="str">
        <f aca="false">IF(A515="","",YEAR(A515))</f>
        <v/>
      </c>
    </row>
    <row r="516" customFormat="false" ht="15" hidden="false" customHeight="false" outlineLevel="0" collapsed="false">
      <c r="A516" s="23"/>
      <c r="B516" s="24"/>
      <c r="C516" s="24"/>
      <c r="D516" s="20" t="str">
        <f aca="false">IF(C516="","",IF(COUNTIF(ตั้งค่า!$A$7:$A$18,C516)&gt;0,"รายรับ",IF(COUNTIF(ตั้งค่า!$C$7:$C$31,C516)&gt;0,"รายจ่าย","ไม่พบหมวดหมู่")))</f>
        <v/>
      </c>
      <c r="E516" s="25"/>
      <c r="F516" s="24"/>
      <c r="G516" s="24"/>
      <c r="H516" s="21" t="n">
        <f aca="false">IF(OR(E516="",D516&lt;&gt;"รายรับ"),0,E516)</f>
        <v>0</v>
      </c>
      <c r="I516" s="21" t="n">
        <f aca="false">IF(OR(E516="",D516&lt;&gt;"รายจ่าย"),0,E516)</f>
        <v>0</v>
      </c>
      <c r="J516" s="21" t="str">
        <f aca="false">IF(E516="","",ตั้งค่า!$B$4+SUM($H$5:H516)-SUM($I$5:I516))</f>
        <v/>
      </c>
      <c r="K516" s="22" t="str">
        <f aca="false">IF(A516="","",MONTH(A516))</f>
        <v/>
      </c>
      <c r="L516" s="22" t="str">
        <f aca="false">IF(A516="","",YEAR(A516))</f>
        <v/>
      </c>
    </row>
    <row r="517" customFormat="false" ht="15" hidden="false" customHeight="false" outlineLevel="0" collapsed="false">
      <c r="A517" s="23"/>
      <c r="B517" s="24"/>
      <c r="C517" s="24"/>
      <c r="D517" s="20" t="str">
        <f aca="false">IF(C517="","",IF(COUNTIF(ตั้งค่า!$A$7:$A$18,C517)&gt;0,"รายรับ",IF(COUNTIF(ตั้งค่า!$C$7:$C$31,C517)&gt;0,"รายจ่าย","ไม่พบหมวดหมู่")))</f>
        <v/>
      </c>
      <c r="E517" s="25"/>
      <c r="F517" s="24"/>
      <c r="G517" s="24"/>
      <c r="H517" s="21" t="n">
        <f aca="false">IF(OR(E517="",D517&lt;&gt;"รายรับ"),0,E517)</f>
        <v>0</v>
      </c>
      <c r="I517" s="21" t="n">
        <f aca="false">IF(OR(E517="",D517&lt;&gt;"รายจ่าย"),0,E517)</f>
        <v>0</v>
      </c>
      <c r="J517" s="21" t="str">
        <f aca="false">IF(E517="","",ตั้งค่า!$B$4+SUM($H$5:H517)-SUM($I$5:I517))</f>
        <v/>
      </c>
      <c r="K517" s="22" t="str">
        <f aca="false">IF(A517="","",MONTH(A517))</f>
        <v/>
      </c>
      <c r="L517" s="22" t="str">
        <f aca="false">IF(A517="","",YEAR(A517))</f>
        <v/>
      </c>
    </row>
    <row r="518" customFormat="false" ht="15" hidden="false" customHeight="false" outlineLevel="0" collapsed="false">
      <c r="A518" s="23"/>
      <c r="B518" s="24"/>
      <c r="C518" s="24"/>
      <c r="D518" s="20" t="str">
        <f aca="false">IF(C518="","",IF(COUNTIF(ตั้งค่า!$A$7:$A$18,C518)&gt;0,"รายรับ",IF(COUNTIF(ตั้งค่า!$C$7:$C$31,C518)&gt;0,"รายจ่าย","ไม่พบหมวดหมู่")))</f>
        <v/>
      </c>
      <c r="E518" s="25"/>
      <c r="F518" s="24"/>
      <c r="G518" s="24"/>
      <c r="H518" s="21" t="n">
        <f aca="false">IF(OR(E518="",D518&lt;&gt;"รายรับ"),0,E518)</f>
        <v>0</v>
      </c>
      <c r="I518" s="21" t="n">
        <f aca="false">IF(OR(E518="",D518&lt;&gt;"รายจ่าย"),0,E518)</f>
        <v>0</v>
      </c>
      <c r="J518" s="21" t="str">
        <f aca="false">IF(E518="","",ตั้งค่า!$B$4+SUM($H$5:H518)-SUM($I$5:I518))</f>
        <v/>
      </c>
      <c r="K518" s="22" t="str">
        <f aca="false">IF(A518="","",MONTH(A518))</f>
        <v/>
      </c>
      <c r="L518" s="22" t="str">
        <f aca="false">IF(A518="","",YEAR(A518))</f>
        <v/>
      </c>
    </row>
    <row r="519" customFormat="false" ht="15" hidden="false" customHeight="false" outlineLevel="0" collapsed="false">
      <c r="A519" s="23"/>
      <c r="B519" s="24"/>
      <c r="C519" s="24"/>
      <c r="D519" s="20" t="str">
        <f aca="false">IF(C519="","",IF(COUNTIF(ตั้งค่า!$A$7:$A$18,C519)&gt;0,"รายรับ",IF(COUNTIF(ตั้งค่า!$C$7:$C$31,C519)&gt;0,"รายจ่าย","ไม่พบหมวดหมู่")))</f>
        <v/>
      </c>
      <c r="E519" s="25"/>
      <c r="F519" s="24"/>
      <c r="G519" s="24"/>
      <c r="H519" s="21" t="n">
        <f aca="false">IF(OR(E519="",D519&lt;&gt;"รายรับ"),0,E519)</f>
        <v>0</v>
      </c>
      <c r="I519" s="21" t="n">
        <f aca="false">IF(OR(E519="",D519&lt;&gt;"รายจ่าย"),0,E519)</f>
        <v>0</v>
      </c>
      <c r="J519" s="21" t="str">
        <f aca="false">IF(E519="","",ตั้งค่า!$B$4+SUM($H$5:H519)-SUM($I$5:I519))</f>
        <v/>
      </c>
      <c r="K519" s="22" t="str">
        <f aca="false">IF(A519="","",MONTH(A519))</f>
        <v/>
      </c>
      <c r="L519" s="22" t="str">
        <f aca="false">IF(A519="","",YEAR(A519))</f>
        <v/>
      </c>
    </row>
    <row r="520" customFormat="false" ht="15" hidden="false" customHeight="false" outlineLevel="0" collapsed="false">
      <c r="A520" s="23"/>
      <c r="B520" s="24"/>
      <c r="C520" s="24"/>
      <c r="D520" s="20" t="str">
        <f aca="false">IF(C520="","",IF(COUNTIF(ตั้งค่า!$A$7:$A$18,C520)&gt;0,"รายรับ",IF(COUNTIF(ตั้งค่า!$C$7:$C$31,C520)&gt;0,"รายจ่าย","ไม่พบหมวดหมู่")))</f>
        <v/>
      </c>
      <c r="E520" s="25"/>
      <c r="F520" s="24"/>
      <c r="G520" s="24"/>
      <c r="H520" s="21" t="n">
        <f aca="false">IF(OR(E520="",D520&lt;&gt;"รายรับ"),0,E520)</f>
        <v>0</v>
      </c>
      <c r="I520" s="21" t="n">
        <f aca="false">IF(OR(E520="",D520&lt;&gt;"รายจ่าย"),0,E520)</f>
        <v>0</v>
      </c>
      <c r="J520" s="21" t="str">
        <f aca="false">IF(E520="","",ตั้งค่า!$B$4+SUM($H$5:H520)-SUM($I$5:I520))</f>
        <v/>
      </c>
      <c r="K520" s="22" t="str">
        <f aca="false">IF(A520="","",MONTH(A520))</f>
        <v/>
      </c>
      <c r="L520" s="22" t="str">
        <f aca="false">IF(A520="","",YEAR(A520))</f>
        <v/>
      </c>
    </row>
    <row r="521" customFormat="false" ht="15" hidden="false" customHeight="false" outlineLevel="0" collapsed="false">
      <c r="A521" s="23"/>
      <c r="B521" s="24"/>
      <c r="C521" s="24"/>
      <c r="D521" s="20" t="str">
        <f aca="false">IF(C521="","",IF(COUNTIF(ตั้งค่า!$A$7:$A$18,C521)&gt;0,"รายรับ",IF(COUNTIF(ตั้งค่า!$C$7:$C$31,C521)&gt;0,"รายจ่าย","ไม่พบหมวดหมู่")))</f>
        <v/>
      </c>
      <c r="E521" s="25"/>
      <c r="F521" s="24"/>
      <c r="G521" s="24"/>
      <c r="H521" s="21" t="n">
        <f aca="false">IF(OR(E521="",D521&lt;&gt;"รายรับ"),0,E521)</f>
        <v>0</v>
      </c>
      <c r="I521" s="21" t="n">
        <f aca="false">IF(OR(E521="",D521&lt;&gt;"รายจ่าย"),0,E521)</f>
        <v>0</v>
      </c>
      <c r="J521" s="21" t="str">
        <f aca="false">IF(E521="","",ตั้งค่า!$B$4+SUM($H$5:H521)-SUM($I$5:I521))</f>
        <v/>
      </c>
      <c r="K521" s="22" t="str">
        <f aca="false">IF(A521="","",MONTH(A521))</f>
        <v/>
      </c>
      <c r="L521" s="22" t="str">
        <f aca="false">IF(A521="","",YEAR(A521))</f>
        <v/>
      </c>
    </row>
    <row r="522" customFormat="false" ht="15" hidden="false" customHeight="false" outlineLevel="0" collapsed="false">
      <c r="A522" s="23"/>
      <c r="B522" s="24"/>
      <c r="C522" s="24"/>
      <c r="D522" s="20" t="str">
        <f aca="false">IF(C522="","",IF(COUNTIF(ตั้งค่า!$A$7:$A$18,C522)&gt;0,"รายรับ",IF(COUNTIF(ตั้งค่า!$C$7:$C$31,C522)&gt;0,"รายจ่าย","ไม่พบหมวดหมู่")))</f>
        <v/>
      </c>
      <c r="E522" s="25"/>
      <c r="F522" s="24"/>
      <c r="G522" s="24"/>
      <c r="H522" s="21" t="n">
        <f aca="false">IF(OR(E522="",D522&lt;&gt;"รายรับ"),0,E522)</f>
        <v>0</v>
      </c>
      <c r="I522" s="21" t="n">
        <f aca="false">IF(OR(E522="",D522&lt;&gt;"รายจ่าย"),0,E522)</f>
        <v>0</v>
      </c>
      <c r="J522" s="21" t="str">
        <f aca="false">IF(E522="","",ตั้งค่า!$B$4+SUM($H$5:H522)-SUM($I$5:I522))</f>
        <v/>
      </c>
      <c r="K522" s="22" t="str">
        <f aca="false">IF(A522="","",MONTH(A522))</f>
        <v/>
      </c>
      <c r="L522" s="22" t="str">
        <f aca="false">IF(A522="","",YEAR(A522))</f>
        <v/>
      </c>
    </row>
    <row r="523" customFormat="false" ht="15" hidden="false" customHeight="false" outlineLevel="0" collapsed="false">
      <c r="A523" s="23"/>
      <c r="B523" s="24"/>
      <c r="C523" s="24"/>
      <c r="D523" s="20" t="str">
        <f aca="false">IF(C523="","",IF(COUNTIF(ตั้งค่า!$A$7:$A$18,C523)&gt;0,"รายรับ",IF(COUNTIF(ตั้งค่า!$C$7:$C$31,C523)&gt;0,"รายจ่าย","ไม่พบหมวดหมู่")))</f>
        <v/>
      </c>
      <c r="E523" s="25"/>
      <c r="F523" s="24"/>
      <c r="G523" s="24"/>
      <c r="H523" s="21" t="n">
        <f aca="false">IF(OR(E523="",D523&lt;&gt;"รายรับ"),0,E523)</f>
        <v>0</v>
      </c>
      <c r="I523" s="21" t="n">
        <f aca="false">IF(OR(E523="",D523&lt;&gt;"รายจ่าย"),0,E523)</f>
        <v>0</v>
      </c>
      <c r="J523" s="21" t="str">
        <f aca="false">IF(E523="","",ตั้งค่า!$B$4+SUM($H$5:H523)-SUM($I$5:I523))</f>
        <v/>
      </c>
      <c r="K523" s="22" t="str">
        <f aca="false">IF(A523="","",MONTH(A523))</f>
        <v/>
      </c>
      <c r="L523" s="22" t="str">
        <f aca="false">IF(A523="","",YEAR(A523))</f>
        <v/>
      </c>
    </row>
    <row r="524" customFormat="false" ht="15" hidden="false" customHeight="false" outlineLevel="0" collapsed="false">
      <c r="A524" s="23"/>
      <c r="B524" s="24"/>
      <c r="C524" s="24"/>
      <c r="D524" s="20" t="str">
        <f aca="false">IF(C524="","",IF(COUNTIF(ตั้งค่า!$A$7:$A$18,C524)&gt;0,"รายรับ",IF(COUNTIF(ตั้งค่า!$C$7:$C$31,C524)&gt;0,"รายจ่าย","ไม่พบหมวดหมู่")))</f>
        <v/>
      </c>
      <c r="E524" s="25"/>
      <c r="F524" s="24"/>
      <c r="G524" s="24"/>
      <c r="H524" s="21" t="n">
        <f aca="false">IF(OR(E524="",D524&lt;&gt;"รายรับ"),0,E524)</f>
        <v>0</v>
      </c>
      <c r="I524" s="21" t="n">
        <f aca="false">IF(OR(E524="",D524&lt;&gt;"รายจ่าย"),0,E524)</f>
        <v>0</v>
      </c>
      <c r="J524" s="21" t="str">
        <f aca="false">IF(E524="","",ตั้งค่า!$B$4+SUM($H$5:H524)-SUM($I$5:I524))</f>
        <v/>
      </c>
      <c r="K524" s="22" t="str">
        <f aca="false">IF(A524="","",MONTH(A524))</f>
        <v/>
      </c>
      <c r="L524" s="22" t="str">
        <f aca="false">IF(A524="","",YEAR(A524))</f>
        <v/>
      </c>
    </row>
    <row r="525" customFormat="false" ht="15" hidden="false" customHeight="false" outlineLevel="0" collapsed="false">
      <c r="A525" s="23"/>
      <c r="B525" s="24"/>
      <c r="C525" s="24"/>
      <c r="D525" s="20" t="str">
        <f aca="false">IF(C525="","",IF(COUNTIF(ตั้งค่า!$A$7:$A$18,C525)&gt;0,"รายรับ",IF(COUNTIF(ตั้งค่า!$C$7:$C$31,C525)&gt;0,"รายจ่าย","ไม่พบหมวดหมู่")))</f>
        <v/>
      </c>
      <c r="E525" s="25"/>
      <c r="F525" s="24"/>
      <c r="G525" s="24"/>
      <c r="H525" s="21" t="n">
        <f aca="false">IF(OR(E525="",D525&lt;&gt;"รายรับ"),0,E525)</f>
        <v>0</v>
      </c>
      <c r="I525" s="21" t="n">
        <f aca="false">IF(OR(E525="",D525&lt;&gt;"รายจ่าย"),0,E525)</f>
        <v>0</v>
      </c>
      <c r="J525" s="21" t="str">
        <f aca="false">IF(E525="","",ตั้งค่า!$B$4+SUM($H$5:H525)-SUM($I$5:I525))</f>
        <v/>
      </c>
      <c r="K525" s="22" t="str">
        <f aca="false">IF(A525="","",MONTH(A525))</f>
        <v/>
      </c>
      <c r="L525" s="22" t="str">
        <f aca="false">IF(A525="","",YEAR(A525))</f>
        <v/>
      </c>
    </row>
    <row r="526" customFormat="false" ht="15" hidden="false" customHeight="false" outlineLevel="0" collapsed="false">
      <c r="A526" s="23"/>
      <c r="B526" s="24"/>
      <c r="C526" s="24"/>
      <c r="D526" s="20" t="str">
        <f aca="false">IF(C526="","",IF(COUNTIF(ตั้งค่า!$A$7:$A$18,C526)&gt;0,"รายรับ",IF(COUNTIF(ตั้งค่า!$C$7:$C$31,C526)&gt;0,"รายจ่าย","ไม่พบหมวดหมู่")))</f>
        <v/>
      </c>
      <c r="E526" s="25"/>
      <c r="F526" s="24"/>
      <c r="G526" s="24"/>
      <c r="H526" s="21" t="n">
        <f aca="false">IF(OR(E526="",D526&lt;&gt;"รายรับ"),0,E526)</f>
        <v>0</v>
      </c>
      <c r="I526" s="21" t="n">
        <f aca="false">IF(OR(E526="",D526&lt;&gt;"รายจ่าย"),0,E526)</f>
        <v>0</v>
      </c>
      <c r="J526" s="21" t="str">
        <f aca="false">IF(E526="","",ตั้งค่า!$B$4+SUM($H$5:H526)-SUM($I$5:I526))</f>
        <v/>
      </c>
      <c r="K526" s="22" t="str">
        <f aca="false">IF(A526="","",MONTH(A526))</f>
        <v/>
      </c>
      <c r="L526" s="22" t="str">
        <f aca="false">IF(A526="","",YEAR(A526))</f>
        <v/>
      </c>
    </row>
    <row r="527" customFormat="false" ht="15" hidden="false" customHeight="false" outlineLevel="0" collapsed="false">
      <c r="A527" s="23"/>
      <c r="B527" s="24"/>
      <c r="C527" s="24"/>
      <c r="D527" s="20" t="str">
        <f aca="false">IF(C527="","",IF(COUNTIF(ตั้งค่า!$A$7:$A$18,C527)&gt;0,"รายรับ",IF(COUNTIF(ตั้งค่า!$C$7:$C$31,C527)&gt;0,"รายจ่าย","ไม่พบหมวดหมู่")))</f>
        <v/>
      </c>
      <c r="E527" s="25"/>
      <c r="F527" s="24"/>
      <c r="G527" s="24"/>
      <c r="H527" s="21" t="n">
        <f aca="false">IF(OR(E527="",D527&lt;&gt;"รายรับ"),0,E527)</f>
        <v>0</v>
      </c>
      <c r="I527" s="21" t="n">
        <f aca="false">IF(OR(E527="",D527&lt;&gt;"รายจ่าย"),0,E527)</f>
        <v>0</v>
      </c>
      <c r="J527" s="21" t="str">
        <f aca="false">IF(E527="","",ตั้งค่า!$B$4+SUM($H$5:H527)-SUM($I$5:I527))</f>
        <v/>
      </c>
      <c r="K527" s="22" t="str">
        <f aca="false">IF(A527="","",MONTH(A527))</f>
        <v/>
      </c>
      <c r="L527" s="22" t="str">
        <f aca="false">IF(A527="","",YEAR(A527))</f>
        <v/>
      </c>
    </row>
    <row r="528" customFormat="false" ht="15" hidden="false" customHeight="false" outlineLevel="0" collapsed="false">
      <c r="A528" s="23"/>
      <c r="B528" s="24"/>
      <c r="C528" s="24"/>
      <c r="D528" s="20" t="str">
        <f aca="false">IF(C528="","",IF(COUNTIF(ตั้งค่า!$A$7:$A$18,C528)&gt;0,"รายรับ",IF(COUNTIF(ตั้งค่า!$C$7:$C$31,C528)&gt;0,"รายจ่าย","ไม่พบหมวดหมู่")))</f>
        <v/>
      </c>
      <c r="E528" s="25"/>
      <c r="F528" s="24"/>
      <c r="G528" s="24"/>
      <c r="H528" s="21" t="n">
        <f aca="false">IF(OR(E528="",D528&lt;&gt;"รายรับ"),0,E528)</f>
        <v>0</v>
      </c>
      <c r="I528" s="21" t="n">
        <f aca="false">IF(OR(E528="",D528&lt;&gt;"รายจ่าย"),0,E528)</f>
        <v>0</v>
      </c>
      <c r="J528" s="21" t="str">
        <f aca="false">IF(E528="","",ตั้งค่า!$B$4+SUM($H$5:H528)-SUM($I$5:I528))</f>
        <v/>
      </c>
      <c r="K528" s="22" t="str">
        <f aca="false">IF(A528="","",MONTH(A528))</f>
        <v/>
      </c>
      <c r="L528" s="22" t="str">
        <f aca="false">IF(A528="","",YEAR(A528))</f>
        <v/>
      </c>
    </row>
    <row r="529" customFormat="false" ht="15" hidden="false" customHeight="false" outlineLevel="0" collapsed="false">
      <c r="A529" s="23"/>
      <c r="B529" s="24"/>
      <c r="C529" s="24"/>
      <c r="D529" s="20" t="str">
        <f aca="false">IF(C529="","",IF(COUNTIF(ตั้งค่า!$A$7:$A$18,C529)&gt;0,"รายรับ",IF(COUNTIF(ตั้งค่า!$C$7:$C$31,C529)&gt;0,"รายจ่าย","ไม่พบหมวดหมู่")))</f>
        <v/>
      </c>
      <c r="E529" s="25"/>
      <c r="F529" s="24"/>
      <c r="G529" s="24"/>
      <c r="H529" s="21" t="n">
        <f aca="false">IF(OR(E529="",D529&lt;&gt;"รายรับ"),0,E529)</f>
        <v>0</v>
      </c>
      <c r="I529" s="21" t="n">
        <f aca="false">IF(OR(E529="",D529&lt;&gt;"รายจ่าย"),0,E529)</f>
        <v>0</v>
      </c>
      <c r="J529" s="21" t="str">
        <f aca="false">IF(E529="","",ตั้งค่า!$B$4+SUM($H$5:H529)-SUM($I$5:I529))</f>
        <v/>
      </c>
      <c r="K529" s="22" t="str">
        <f aca="false">IF(A529="","",MONTH(A529))</f>
        <v/>
      </c>
      <c r="L529" s="22" t="str">
        <f aca="false">IF(A529="","",YEAR(A529))</f>
        <v/>
      </c>
    </row>
    <row r="530" customFormat="false" ht="15" hidden="false" customHeight="false" outlineLevel="0" collapsed="false">
      <c r="A530" s="23"/>
      <c r="B530" s="24"/>
      <c r="C530" s="24"/>
      <c r="D530" s="20" t="str">
        <f aca="false">IF(C530="","",IF(COUNTIF(ตั้งค่า!$A$7:$A$18,C530)&gt;0,"รายรับ",IF(COUNTIF(ตั้งค่า!$C$7:$C$31,C530)&gt;0,"รายจ่าย","ไม่พบหมวดหมู่")))</f>
        <v/>
      </c>
      <c r="E530" s="25"/>
      <c r="F530" s="24"/>
      <c r="G530" s="24"/>
      <c r="H530" s="21" t="n">
        <f aca="false">IF(OR(E530="",D530&lt;&gt;"รายรับ"),0,E530)</f>
        <v>0</v>
      </c>
      <c r="I530" s="21" t="n">
        <f aca="false">IF(OR(E530="",D530&lt;&gt;"รายจ่าย"),0,E530)</f>
        <v>0</v>
      </c>
      <c r="J530" s="21" t="str">
        <f aca="false">IF(E530="","",ตั้งค่า!$B$4+SUM($H$5:H530)-SUM($I$5:I530))</f>
        <v/>
      </c>
      <c r="K530" s="22" t="str">
        <f aca="false">IF(A530="","",MONTH(A530))</f>
        <v/>
      </c>
      <c r="L530" s="22" t="str">
        <f aca="false">IF(A530="","",YEAR(A530))</f>
        <v/>
      </c>
    </row>
    <row r="531" customFormat="false" ht="15" hidden="false" customHeight="false" outlineLevel="0" collapsed="false">
      <c r="A531" s="23"/>
      <c r="B531" s="24"/>
      <c r="C531" s="24"/>
      <c r="D531" s="20" t="str">
        <f aca="false">IF(C531="","",IF(COUNTIF(ตั้งค่า!$A$7:$A$18,C531)&gt;0,"รายรับ",IF(COUNTIF(ตั้งค่า!$C$7:$C$31,C531)&gt;0,"รายจ่าย","ไม่พบหมวดหมู่")))</f>
        <v/>
      </c>
      <c r="E531" s="25"/>
      <c r="F531" s="24"/>
      <c r="G531" s="24"/>
      <c r="H531" s="21" t="n">
        <f aca="false">IF(OR(E531="",D531&lt;&gt;"รายรับ"),0,E531)</f>
        <v>0</v>
      </c>
      <c r="I531" s="21" t="n">
        <f aca="false">IF(OR(E531="",D531&lt;&gt;"รายจ่าย"),0,E531)</f>
        <v>0</v>
      </c>
      <c r="J531" s="21" t="str">
        <f aca="false">IF(E531="","",ตั้งค่า!$B$4+SUM($H$5:H531)-SUM($I$5:I531))</f>
        <v/>
      </c>
      <c r="K531" s="22" t="str">
        <f aca="false">IF(A531="","",MONTH(A531))</f>
        <v/>
      </c>
      <c r="L531" s="22" t="str">
        <f aca="false">IF(A531="","",YEAR(A531))</f>
        <v/>
      </c>
    </row>
    <row r="532" customFormat="false" ht="15" hidden="false" customHeight="false" outlineLevel="0" collapsed="false">
      <c r="A532" s="23"/>
      <c r="B532" s="24"/>
      <c r="C532" s="24"/>
      <c r="D532" s="20" t="str">
        <f aca="false">IF(C532="","",IF(COUNTIF(ตั้งค่า!$A$7:$A$18,C532)&gt;0,"รายรับ",IF(COUNTIF(ตั้งค่า!$C$7:$C$31,C532)&gt;0,"รายจ่าย","ไม่พบหมวดหมู่")))</f>
        <v/>
      </c>
      <c r="E532" s="25"/>
      <c r="F532" s="24"/>
      <c r="G532" s="24"/>
      <c r="H532" s="21" t="n">
        <f aca="false">IF(OR(E532="",D532&lt;&gt;"รายรับ"),0,E532)</f>
        <v>0</v>
      </c>
      <c r="I532" s="21" t="n">
        <f aca="false">IF(OR(E532="",D532&lt;&gt;"รายจ่าย"),0,E532)</f>
        <v>0</v>
      </c>
      <c r="J532" s="21" t="str">
        <f aca="false">IF(E532="","",ตั้งค่า!$B$4+SUM($H$5:H532)-SUM($I$5:I532))</f>
        <v/>
      </c>
      <c r="K532" s="22" t="str">
        <f aca="false">IF(A532="","",MONTH(A532))</f>
        <v/>
      </c>
      <c r="L532" s="22" t="str">
        <f aca="false">IF(A532="","",YEAR(A532))</f>
        <v/>
      </c>
    </row>
    <row r="533" customFormat="false" ht="15" hidden="false" customHeight="false" outlineLevel="0" collapsed="false">
      <c r="A533" s="23"/>
      <c r="B533" s="24"/>
      <c r="C533" s="24"/>
      <c r="D533" s="20" t="str">
        <f aca="false">IF(C533="","",IF(COUNTIF(ตั้งค่า!$A$7:$A$18,C533)&gt;0,"รายรับ",IF(COUNTIF(ตั้งค่า!$C$7:$C$31,C533)&gt;0,"รายจ่าย","ไม่พบหมวดหมู่")))</f>
        <v/>
      </c>
      <c r="E533" s="25"/>
      <c r="F533" s="24"/>
      <c r="G533" s="24"/>
      <c r="H533" s="21" t="n">
        <f aca="false">IF(OR(E533="",D533&lt;&gt;"รายรับ"),0,E533)</f>
        <v>0</v>
      </c>
      <c r="I533" s="21" t="n">
        <f aca="false">IF(OR(E533="",D533&lt;&gt;"รายจ่าย"),0,E533)</f>
        <v>0</v>
      </c>
      <c r="J533" s="21" t="str">
        <f aca="false">IF(E533="","",ตั้งค่า!$B$4+SUM($H$5:H533)-SUM($I$5:I533))</f>
        <v/>
      </c>
      <c r="K533" s="22" t="str">
        <f aca="false">IF(A533="","",MONTH(A533))</f>
        <v/>
      </c>
      <c r="L533" s="22" t="str">
        <f aca="false">IF(A533="","",YEAR(A533))</f>
        <v/>
      </c>
    </row>
    <row r="534" customFormat="false" ht="15" hidden="false" customHeight="false" outlineLevel="0" collapsed="false">
      <c r="A534" s="23"/>
      <c r="B534" s="24"/>
      <c r="C534" s="24"/>
      <c r="D534" s="20" t="str">
        <f aca="false">IF(C534="","",IF(COUNTIF(ตั้งค่า!$A$7:$A$18,C534)&gt;0,"รายรับ",IF(COUNTIF(ตั้งค่า!$C$7:$C$31,C534)&gt;0,"รายจ่าย","ไม่พบหมวดหมู่")))</f>
        <v/>
      </c>
      <c r="E534" s="25"/>
      <c r="F534" s="24"/>
      <c r="G534" s="24"/>
      <c r="H534" s="21" t="n">
        <f aca="false">IF(OR(E534="",D534&lt;&gt;"รายรับ"),0,E534)</f>
        <v>0</v>
      </c>
      <c r="I534" s="21" t="n">
        <f aca="false">IF(OR(E534="",D534&lt;&gt;"รายจ่าย"),0,E534)</f>
        <v>0</v>
      </c>
      <c r="J534" s="21" t="str">
        <f aca="false">IF(E534="","",ตั้งค่า!$B$4+SUM($H$5:H534)-SUM($I$5:I534))</f>
        <v/>
      </c>
      <c r="K534" s="22" t="str">
        <f aca="false">IF(A534="","",MONTH(A534))</f>
        <v/>
      </c>
      <c r="L534" s="22" t="str">
        <f aca="false">IF(A534="","",YEAR(A534))</f>
        <v/>
      </c>
    </row>
    <row r="535" customFormat="false" ht="15" hidden="false" customHeight="false" outlineLevel="0" collapsed="false">
      <c r="A535" s="23"/>
      <c r="B535" s="24"/>
      <c r="C535" s="24"/>
      <c r="D535" s="20" t="str">
        <f aca="false">IF(C535="","",IF(COUNTIF(ตั้งค่า!$A$7:$A$18,C535)&gt;0,"รายรับ",IF(COUNTIF(ตั้งค่า!$C$7:$C$31,C535)&gt;0,"รายจ่าย","ไม่พบหมวดหมู่")))</f>
        <v/>
      </c>
      <c r="E535" s="25"/>
      <c r="F535" s="24"/>
      <c r="G535" s="24"/>
      <c r="H535" s="21" t="n">
        <f aca="false">IF(OR(E535="",D535&lt;&gt;"รายรับ"),0,E535)</f>
        <v>0</v>
      </c>
      <c r="I535" s="21" t="n">
        <f aca="false">IF(OR(E535="",D535&lt;&gt;"รายจ่าย"),0,E535)</f>
        <v>0</v>
      </c>
      <c r="J535" s="21" t="str">
        <f aca="false">IF(E535="","",ตั้งค่า!$B$4+SUM($H$5:H535)-SUM($I$5:I535))</f>
        <v/>
      </c>
      <c r="K535" s="22" t="str">
        <f aca="false">IF(A535="","",MONTH(A535))</f>
        <v/>
      </c>
      <c r="L535" s="22" t="str">
        <f aca="false">IF(A535="","",YEAR(A535))</f>
        <v/>
      </c>
    </row>
    <row r="536" customFormat="false" ht="15" hidden="false" customHeight="false" outlineLevel="0" collapsed="false">
      <c r="A536" s="23"/>
      <c r="B536" s="24"/>
      <c r="C536" s="24"/>
      <c r="D536" s="20" t="str">
        <f aca="false">IF(C536="","",IF(COUNTIF(ตั้งค่า!$A$7:$A$18,C536)&gt;0,"รายรับ",IF(COUNTIF(ตั้งค่า!$C$7:$C$31,C536)&gt;0,"รายจ่าย","ไม่พบหมวดหมู่")))</f>
        <v/>
      </c>
      <c r="E536" s="25"/>
      <c r="F536" s="24"/>
      <c r="G536" s="24"/>
      <c r="H536" s="21" t="n">
        <f aca="false">IF(OR(E536="",D536&lt;&gt;"รายรับ"),0,E536)</f>
        <v>0</v>
      </c>
      <c r="I536" s="21" t="n">
        <f aca="false">IF(OR(E536="",D536&lt;&gt;"รายจ่าย"),0,E536)</f>
        <v>0</v>
      </c>
      <c r="J536" s="21" t="str">
        <f aca="false">IF(E536="","",ตั้งค่า!$B$4+SUM($H$5:H536)-SUM($I$5:I536))</f>
        <v/>
      </c>
      <c r="K536" s="22" t="str">
        <f aca="false">IF(A536="","",MONTH(A536))</f>
        <v/>
      </c>
      <c r="L536" s="22" t="str">
        <f aca="false">IF(A536="","",YEAR(A536))</f>
        <v/>
      </c>
    </row>
    <row r="537" customFormat="false" ht="15" hidden="false" customHeight="false" outlineLevel="0" collapsed="false">
      <c r="A537" s="23"/>
      <c r="B537" s="24"/>
      <c r="C537" s="24"/>
      <c r="D537" s="20" t="str">
        <f aca="false">IF(C537="","",IF(COUNTIF(ตั้งค่า!$A$7:$A$18,C537)&gt;0,"รายรับ",IF(COUNTIF(ตั้งค่า!$C$7:$C$31,C537)&gt;0,"รายจ่าย","ไม่พบหมวดหมู่")))</f>
        <v/>
      </c>
      <c r="E537" s="25"/>
      <c r="F537" s="24"/>
      <c r="G537" s="24"/>
      <c r="H537" s="21" t="n">
        <f aca="false">IF(OR(E537="",D537&lt;&gt;"รายรับ"),0,E537)</f>
        <v>0</v>
      </c>
      <c r="I537" s="21" t="n">
        <f aca="false">IF(OR(E537="",D537&lt;&gt;"รายจ่าย"),0,E537)</f>
        <v>0</v>
      </c>
      <c r="J537" s="21" t="str">
        <f aca="false">IF(E537="","",ตั้งค่า!$B$4+SUM($H$5:H537)-SUM($I$5:I537))</f>
        <v/>
      </c>
      <c r="K537" s="22" t="str">
        <f aca="false">IF(A537="","",MONTH(A537))</f>
        <v/>
      </c>
      <c r="L537" s="22" t="str">
        <f aca="false">IF(A537="","",YEAR(A537))</f>
        <v/>
      </c>
    </row>
    <row r="538" customFormat="false" ht="15" hidden="false" customHeight="false" outlineLevel="0" collapsed="false">
      <c r="A538" s="23"/>
      <c r="B538" s="24"/>
      <c r="C538" s="24"/>
      <c r="D538" s="20" t="str">
        <f aca="false">IF(C538="","",IF(COUNTIF(ตั้งค่า!$A$7:$A$18,C538)&gt;0,"รายรับ",IF(COUNTIF(ตั้งค่า!$C$7:$C$31,C538)&gt;0,"รายจ่าย","ไม่พบหมวดหมู่")))</f>
        <v/>
      </c>
      <c r="E538" s="25"/>
      <c r="F538" s="24"/>
      <c r="G538" s="24"/>
      <c r="H538" s="21" t="n">
        <f aca="false">IF(OR(E538="",D538&lt;&gt;"รายรับ"),0,E538)</f>
        <v>0</v>
      </c>
      <c r="I538" s="21" t="n">
        <f aca="false">IF(OR(E538="",D538&lt;&gt;"รายจ่าย"),0,E538)</f>
        <v>0</v>
      </c>
      <c r="J538" s="21" t="str">
        <f aca="false">IF(E538="","",ตั้งค่า!$B$4+SUM($H$5:H538)-SUM($I$5:I538))</f>
        <v/>
      </c>
      <c r="K538" s="22" t="str">
        <f aca="false">IF(A538="","",MONTH(A538))</f>
        <v/>
      </c>
      <c r="L538" s="22" t="str">
        <f aca="false">IF(A538="","",YEAR(A538))</f>
        <v/>
      </c>
    </row>
    <row r="539" customFormat="false" ht="15" hidden="false" customHeight="false" outlineLevel="0" collapsed="false">
      <c r="A539" s="23"/>
      <c r="B539" s="24"/>
      <c r="C539" s="24"/>
      <c r="D539" s="20" t="str">
        <f aca="false">IF(C539="","",IF(COUNTIF(ตั้งค่า!$A$7:$A$18,C539)&gt;0,"รายรับ",IF(COUNTIF(ตั้งค่า!$C$7:$C$31,C539)&gt;0,"รายจ่าย","ไม่พบหมวดหมู่")))</f>
        <v/>
      </c>
      <c r="E539" s="25"/>
      <c r="F539" s="24"/>
      <c r="G539" s="24"/>
      <c r="H539" s="21" t="n">
        <f aca="false">IF(OR(E539="",D539&lt;&gt;"รายรับ"),0,E539)</f>
        <v>0</v>
      </c>
      <c r="I539" s="21" t="n">
        <f aca="false">IF(OR(E539="",D539&lt;&gt;"รายจ่าย"),0,E539)</f>
        <v>0</v>
      </c>
      <c r="J539" s="21" t="str">
        <f aca="false">IF(E539="","",ตั้งค่า!$B$4+SUM($H$5:H539)-SUM($I$5:I539))</f>
        <v/>
      </c>
      <c r="K539" s="22" t="str">
        <f aca="false">IF(A539="","",MONTH(A539))</f>
        <v/>
      </c>
      <c r="L539" s="22" t="str">
        <f aca="false">IF(A539="","",YEAR(A539))</f>
        <v/>
      </c>
    </row>
    <row r="540" customFormat="false" ht="15" hidden="false" customHeight="false" outlineLevel="0" collapsed="false">
      <c r="A540" s="23"/>
      <c r="B540" s="24"/>
      <c r="C540" s="24"/>
      <c r="D540" s="20" t="str">
        <f aca="false">IF(C540="","",IF(COUNTIF(ตั้งค่า!$A$7:$A$18,C540)&gt;0,"รายรับ",IF(COUNTIF(ตั้งค่า!$C$7:$C$31,C540)&gt;0,"รายจ่าย","ไม่พบหมวดหมู่")))</f>
        <v/>
      </c>
      <c r="E540" s="25"/>
      <c r="F540" s="24"/>
      <c r="G540" s="24"/>
      <c r="H540" s="21" t="n">
        <f aca="false">IF(OR(E540="",D540&lt;&gt;"รายรับ"),0,E540)</f>
        <v>0</v>
      </c>
      <c r="I540" s="21" t="n">
        <f aca="false">IF(OR(E540="",D540&lt;&gt;"รายจ่าย"),0,E540)</f>
        <v>0</v>
      </c>
      <c r="J540" s="21" t="str">
        <f aca="false">IF(E540="","",ตั้งค่า!$B$4+SUM($H$5:H540)-SUM($I$5:I540))</f>
        <v/>
      </c>
      <c r="K540" s="22" t="str">
        <f aca="false">IF(A540="","",MONTH(A540))</f>
        <v/>
      </c>
      <c r="L540" s="22" t="str">
        <f aca="false">IF(A540="","",YEAR(A540))</f>
        <v/>
      </c>
    </row>
    <row r="541" customFormat="false" ht="15" hidden="false" customHeight="false" outlineLevel="0" collapsed="false">
      <c r="A541" s="23"/>
      <c r="B541" s="24"/>
      <c r="C541" s="24"/>
      <c r="D541" s="20" t="str">
        <f aca="false">IF(C541="","",IF(COUNTIF(ตั้งค่า!$A$7:$A$18,C541)&gt;0,"รายรับ",IF(COUNTIF(ตั้งค่า!$C$7:$C$31,C541)&gt;0,"รายจ่าย","ไม่พบหมวดหมู่")))</f>
        <v/>
      </c>
      <c r="E541" s="25"/>
      <c r="F541" s="24"/>
      <c r="G541" s="24"/>
      <c r="H541" s="21" t="n">
        <f aca="false">IF(OR(E541="",D541&lt;&gt;"รายรับ"),0,E541)</f>
        <v>0</v>
      </c>
      <c r="I541" s="21" t="n">
        <f aca="false">IF(OR(E541="",D541&lt;&gt;"รายจ่าย"),0,E541)</f>
        <v>0</v>
      </c>
      <c r="J541" s="21" t="str">
        <f aca="false">IF(E541="","",ตั้งค่า!$B$4+SUM($H$5:H541)-SUM($I$5:I541))</f>
        <v/>
      </c>
      <c r="K541" s="22" t="str">
        <f aca="false">IF(A541="","",MONTH(A541))</f>
        <v/>
      </c>
      <c r="L541" s="22" t="str">
        <f aca="false">IF(A541="","",YEAR(A541))</f>
        <v/>
      </c>
    </row>
    <row r="542" customFormat="false" ht="15" hidden="false" customHeight="false" outlineLevel="0" collapsed="false">
      <c r="A542" s="23"/>
      <c r="B542" s="24"/>
      <c r="C542" s="24"/>
      <c r="D542" s="20" t="str">
        <f aca="false">IF(C542="","",IF(COUNTIF(ตั้งค่า!$A$7:$A$18,C542)&gt;0,"รายรับ",IF(COUNTIF(ตั้งค่า!$C$7:$C$31,C542)&gt;0,"รายจ่าย","ไม่พบหมวดหมู่")))</f>
        <v/>
      </c>
      <c r="E542" s="25"/>
      <c r="F542" s="24"/>
      <c r="G542" s="24"/>
      <c r="H542" s="21" t="n">
        <f aca="false">IF(OR(E542="",D542&lt;&gt;"รายรับ"),0,E542)</f>
        <v>0</v>
      </c>
      <c r="I542" s="21" t="n">
        <f aca="false">IF(OR(E542="",D542&lt;&gt;"รายจ่าย"),0,E542)</f>
        <v>0</v>
      </c>
      <c r="J542" s="21" t="str">
        <f aca="false">IF(E542="","",ตั้งค่า!$B$4+SUM($H$5:H542)-SUM($I$5:I542))</f>
        <v/>
      </c>
      <c r="K542" s="22" t="str">
        <f aca="false">IF(A542="","",MONTH(A542))</f>
        <v/>
      </c>
      <c r="L542" s="22" t="str">
        <f aca="false">IF(A542="","",YEAR(A542))</f>
        <v/>
      </c>
    </row>
    <row r="543" customFormat="false" ht="15" hidden="false" customHeight="false" outlineLevel="0" collapsed="false">
      <c r="A543" s="23"/>
      <c r="B543" s="24"/>
      <c r="C543" s="24"/>
      <c r="D543" s="20" t="str">
        <f aca="false">IF(C543="","",IF(COUNTIF(ตั้งค่า!$A$7:$A$18,C543)&gt;0,"รายรับ",IF(COUNTIF(ตั้งค่า!$C$7:$C$31,C543)&gt;0,"รายจ่าย","ไม่พบหมวดหมู่")))</f>
        <v/>
      </c>
      <c r="E543" s="25"/>
      <c r="F543" s="24"/>
      <c r="G543" s="24"/>
      <c r="H543" s="21" t="n">
        <f aca="false">IF(OR(E543="",D543&lt;&gt;"รายรับ"),0,E543)</f>
        <v>0</v>
      </c>
      <c r="I543" s="21" t="n">
        <f aca="false">IF(OR(E543="",D543&lt;&gt;"รายจ่าย"),0,E543)</f>
        <v>0</v>
      </c>
      <c r="J543" s="21" t="str">
        <f aca="false">IF(E543="","",ตั้งค่า!$B$4+SUM($H$5:H543)-SUM($I$5:I543))</f>
        <v/>
      </c>
      <c r="K543" s="22" t="str">
        <f aca="false">IF(A543="","",MONTH(A543))</f>
        <v/>
      </c>
      <c r="L543" s="22" t="str">
        <f aca="false">IF(A543="","",YEAR(A543))</f>
        <v/>
      </c>
    </row>
    <row r="544" customFormat="false" ht="15" hidden="false" customHeight="false" outlineLevel="0" collapsed="false">
      <c r="A544" s="23"/>
      <c r="B544" s="24"/>
      <c r="C544" s="24"/>
      <c r="D544" s="20" t="str">
        <f aca="false">IF(C544="","",IF(COUNTIF(ตั้งค่า!$A$7:$A$18,C544)&gt;0,"รายรับ",IF(COUNTIF(ตั้งค่า!$C$7:$C$31,C544)&gt;0,"รายจ่าย","ไม่พบหมวดหมู่")))</f>
        <v/>
      </c>
      <c r="E544" s="25"/>
      <c r="F544" s="24"/>
      <c r="G544" s="24"/>
      <c r="H544" s="21" t="n">
        <f aca="false">IF(OR(E544="",D544&lt;&gt;"รายรับ"),0,E544)</f>
        <v>0</v>
      </c>
      <c r="I544" s="21" t="n">
        <f aca="false">IF(OR(E544="",D544&lt;&gt;"รายจ่าย"),0,E544)</f>
        <v>0</v>
      </c>
      <c r="J544" s="21" t="str">
        <f aca="false">IF(E544="","",ตั้งค่า!$B$4+SUM($H$5:H544)-SUM($I$5:I544))</f>
        <v/>
      </c>
      <c r="K544" s="22" t="str">
        <f aca="false">IF(A544="","",MONTH(A544))</f>
        <v/>
      </c>
      <c r="L544" s="22" t="str">
        <f aca="false">IF(A544="","",YEAR(A544))</f>
        <v/>
      </c>
    </row>
    <row r="545" customFormat="false" ht="15" hidden="false" customHeight="false" outlineLevel="0" collapsed="false">
      <c r="A545" s="23"/>
      <c r="B545" s="24"/>
      <c r="C545" s="24"/>
      <c r="D545" s="20" t="str">
        <f aca="false">IF(C545="","",IF(COUNTIF(ตั้งค่า!$A$7:$A$18,C545)&gt;0,"รายรับ",IF(COUNTIF(ตั้งค่า!$C$7:$C$31,C545)&gt;0,"รายจ่าย","ไม่พบหมวดหมู่")))</f>
        <v/>
      </c>
      <c r="E545" s="25"/>
      <c r="F545" s="24"/>
      <c r="G545" s="24"/>
      <c r="H545" s="21" t="n">
        <f aca="false">IF(OR(E545="",D545&lt;&gt;"รายรับ"),0,E545)</f>
        <v>0</v>
      </c>
      <c r="I545" s="21" t="n">
        <f aca="false">IF(OR(E545="",D545&lt;&gt;"รายจ่าย"),0,E545)</f>
        <v>0</v>
      </c>
      <c r="J545" s="21" t="str">
        <f aca="false">IF(E545="","",ตั้งค่า!$B$4+SUM($H$5:H545)-SUM($I$5:I545))</f>
        <v/>
      </c>
      <c r="K545" s="22" t="str">
        <f aca="false">IF(A545="","",MONTH(A545))</f>
        <v/>
      </c>
      <c r="L545" s="22" t="str">
        <f aca="false">IF(A545="","",YEAR(A545))</f>
        <v/>
      </c>
    </row>
    <row r="546" customFormat="false" ht="15" hidden="false" customHeight="false" outlineLevel="0" collapsed="false">
      <c r="A546" s="23"/>
      <c r="B546" s="24"/>
      <c r="C546" s="24"/>
      <c r="D546" s="20" t="str">
        <f aca="false">IF(C546="","",IF(COUNTIF(ตั้งค่า!$A$7:$A$18,C546)&gt;0,"รายรับ",IF(COUNTIF(ตั้งค่า!$C$7:$C$31,C546)&gt;0,"รายจ่าย","ไม่พบหมวดหมู่")))</f>
        <v/>
      </c>
      <c r="E546" s="25"/>
      <c r="F546" s="24"/>
      <c r="G546" s="24"/>
      <c r="H546" s="21" t="n">
        <f aca="false">IF(OR(E546="",D546&lt;&gt;"รายรับ"),0,E546)</f>
        <v>0</v>
      </c>
      <c r="I546" s="21" t="n">
        <f aca="false">IF(OR(E546="",D546&lt;&gt;"รายจ่าย"),0,E546)</f>
        <v>0</v>
      </c>
      <c r="J546" s="21" t="str">
        <f aca="false">IF(E546="","",ตั้งค่า!$B$4+SUM($H$5:H546)-SUM($I$5:I546))</f>
        <v/>
      </c>
      <c r="K546" s="22" t="str">
        <f aca="false">IF(A546="","",MONTH(A546))</f>
        <v/>
      </c>
      <c r="L546" s="22" t="str">
        <f aca="false">IF(A546="","",YEAR(A546))</f>
        <v/>
      </c>
    </row>
    <row r="547" customFormat="false" ht="15" hidden="false" customHeight="false" outlineLevel="0" collapsed="false">
      <c r="A547" s="23"/>
      <c r="B547" s="24"/>
      <c r="C547" s="24"/>
      <c r="D547" s="20" t="str">
        <f aca="false">IF(C547="","",IF(COUNTIF(ตั้งค่า!$A$7:$A$18,C547)&gt;0,"รายรับ",IF(COUNTIF(ตั้งค่า!$C$7:$C$31,C547)&gt;0,"รายจ่าย","ไม่พบหมวดหมู่")))</f>
        <v/>
      </c>
      <c r="E547" s="25"/>
      <c r="F547" s="24"/>
      <c r="G547" s="24"/>
      <c r="H547" s="21" t="n">
        <f aca="false">IF(OR(E547="",D547&lt;&gt;"รายรับ"),0,E547)</f>
        <v>0</v>
      </c>
      <c r="I547" s="21" t="n">
        <f aca="false">IF(OR(E547="",D547&lt;&gt;"รายจ่าย"),0,E547)</f>
        <v>0</v>
      </c>
      <c r="J547" s="21" t="str">
        <f aca="false">IF(E547="","",ตั้งค่า!$B$4+SUM($H$5:H547)-SUM($I$5:I547))</f>
        <v/>
      </c>
      <c r="K547" s="22" t="str">
        <f aca="false">IF(A547="","",MONTH(A547))</f>
        <v/>
      </c>
      <c r="L547" s="22" t="str">
        <f aca="false">IF(A547="","",YEAR(A547))</f>
        <v/>
      </c>
    </row>
    <row r="548" customFormat="false" ht="15" hidden="false" customHeight="false" outlineLevel="0" collapsed="false">
      <c r="A548" s="23"/>
      <c r="B548" s="24"/>
      <c r="C548" s="24"/>
      <c r="D548" s="20" t="str">
        <f aca="false">IF(C548="","",IF(COUNTIF(ตั้งค่า!$A$7:$A$18,C548)&gt;0,"รายรับ",IF(COUNTIF(ตั้งค่า!$C$7:$C$31,C548)&gt;0,"รายจ่าย","ไม่พบหมวดหมู่")))</f>
        <v/>
      </c>
      <c r="E548" s="25"/>
      <c r="F548" s="24"/>
      <c r="G548" s="24"/>
      <c r="H548" s="21" t="n">
        <f aca="false">IF(OR(E548="",D548&lt;&gt;"รายรับ"),0,E548)</f>
        <v>0</v>
      </c>
      <c r="I548" s="21" t="n">
        <f aca="false">IF(OR(E548="",D548&lt;&gt;"รายจ่าย"),0,E548)</f>
        <v>0</v>
      </c>
      <c r="J548" s="21" t="str">
        <f aca="false">IF(E548="","",ตั้งค่า!$B$4+SUM($H$5:H548)-SUM($I$5:I548))</f>
        <v/>
      </c>
      <c r="K548" s="22" t="str">
        <f aca="false">IF(A548="","",MONTH(A548))</f>
        <v/>
      </c>
      <c r="L548" s="22" t="str">
        <f aca="false">IF(A548="","",YEAR(A548))</f>
        <v/>
      </c>
    </row>
    <row r="549" customFormat="false" ht="15" hidden="false" customHeight="false" outlineLevel="0" collapsed="false">
      <c r="A549" s="23"/>
      <c r="B549" s="24"/>
      <c r="C549" s="24"/>
      <c r="D549" s="20" t="str">
        <f aca="false">IF(C549="","",IF(COUNTIF(ตั้งค่า!$A$7:$A$18,C549)&gt;0,"รายรับ",IF(COUNTIF(ตั้งค่า!$C$7:$C$31,C549)&gt;0,"รายจ่าย","ไม่พบหมวดหมู่")))</f>
        <v/>
      </c>
      <c r="E549" s="25"/>
      <c r="F549" s="24"/>
      <c r="G549" s="24"/>
      <c r="H549" s="21" t="n">
        <f aca="false">IF(OR(E549="",D549&lt;&gt;"รายรับ"),0,E549)</f>
        <v>0</v>
      </c>
      <c r="I549" s="21" t="n">
        <f aca="false">IF(OR(E549="",D549&lt;&gt;"รายจ่าย"),0,E549)</f>
        <v>0</v>
      </c>
      <c r="J549" s="21" t="str">
        <f aca="false">IF(E549="","",ตั้งค่า!$B$4+SUM($H$5:H549)-SUM($I$5:I549))</f>
        <v/>
      </c>
      <c r="K549" s="22" t="str">
        <f aca="false">IF(A549="","",MONTH(A549))</f>
        <v/>
      </c>
      <c r="L549" s="22" t="str">
        <f aca="false">IF(A549="","",YEAR(A549))</f>
        <v/>
      </c>
    </row>
    <row r="550" customFormat="false" ht="15" hidden="false" customHeight="false" outlineLevel="0" collapsed="false">
      <c r="A550" s="23"/>
      <c r="B550" s="24"/>
      <c r="C550" s="24"/>
      <c r="D550" s="20" t="str">
        <f aca="false">IF(C550="","",IF(COUNTIF(ตั้งค่า!$A$7:$A$18,C550)&gt;0,"รายรับ",IF(COUNTIF(ตั้งค่า!$C$7:$C$31,C550)&gt;0,"รายจ่าย","ไม่พบหมวดหมู่")))</f>
        <v/>
      </c>
      <c r="E550" s="25"/>
      <c r="F550" s="24"/>
      <c r="G550" s="24"/>
      <c r="H550" s="21" t="n">
        <f aca="false">IF(OR(E550="",D550&lt;&gt;"รายรับ"),0,E550)</f>
        <v>0</v>
      </c>
      <c r="I550" s="21" t="n">
        <f aca="false">IF(OR(E550="",D550&lt;&gt;"รายจ่าย"),0,E550)</f>
        <v>0</v>
      </c>
      <c r="J550" s="21" t="str">
        <f aca="false">IF(E550="","",ตั้งค่า!$B$4+SUM($H$5:H550)-SUM($I$5:I550))</f>
        <v/>
      </c>
      <c r="K550" s="22" t="str">
        <f aca="false">IF(A550="","",MONTH(A550))</f>
        <v/>
      </c>
      <c r="L550" s="22" t="str">
        <f aca="false">IF(A550="","",YEAR(A550))</f>
        <v/>
      </c>
    </row>
    <row r="551" customFormat="false" ht="15" hidden="false" customHeight="false" outlineLevel="0" collapsed="false">
      <c r="A551" s="23"/>
      <c r="B551" s="24"/>
      <c r="C551" s="24"/>
      <c r="D551" s="20" t="str">
        <f aca="false">IF(C551="","",IF(COUNTIF(ตั้งค่า!$A$7:$A$18,C551)&gt;0,"รายรับ",IF(COUNTIF(ตั้งค่า!$C$7:$C$31,C551)&gt;0,"รายจ่าย","ไม่พบหมวดหมู่")))</f>
        <v/>
      </c>
      <c r="E551" s="25"/>
      <c r="F551" s="24"/>
      <c r="G551" s="24"/>
      <c r="H551" s="21" t="n">
        <f aca="false">IF(OR(E551="",D551&lt;&gt;"รายรับ"),0,E551)</f>
        <v>0</v>
      </c>
      <c r="I551" s="21" t="n">
        <f aca="false">IF(OR(E551="",D551&lt;&gt;"รายจ่าย"),0,E551)</f>
        <v>0</v>
      </c>
      <c r="J551" s="21" t="str">
        <f aca="false">IF(E551="","",ตั้งค่า!$B$4+SUM($H$5:H551)-SUM($I$5:I551))</f>
        <v/>
      </c>
      <c r="K551" s="22" t="str">
        <f aca="false">IF(A551="","",MONTH(A551))</f>
        <v/>
      </c>
      <c r="L551" s="22" t="str">
        <f aca="false">IF(A551="","",YEAR(A551))</f>
        <v/>
      </c>
    </row>
    <row r="552" customFormat="false" ht="15" hidden="false" customHeight="false" outlineLevel="0" collapsed="false">
      <c r="A552" s="23"/>
      <c r="B552" s="24"/>
      <c r="C552" s="24"/>
      <c r="D552" s="20" t="str">
        <f aca="false">IF(C552="","",IF(COUNTIF(ตั้งค่า!$A$7:$A$18,C552)&gt;0,"รายรับ",IF(COUNTIF(ตั้งค่า!$C$7:$C$31,C552)&gt;0,"รายจ่าย","ไม่พบหมวดหมู่")))</f>
        <v/>
      </c>
      <c r="E552" s="25"/>
      <c r="F552" s="24"/>
      <c r="G552" s="24"/>
      <c r="H552" s="21" t="n">
        <f aca="false">IF(OR(E552="",D552&lt;&gt;"รายรับ"),0,E552)</f>
        <v>0</v>
      </c>
      <c r="I552" s="21" t="n">
        <f aca="false">IF(OR(E552="",D552&lt;&gt;"รายจ่าย"),0,E552)</f>
        <v>0</v>
      </c>
      <c r="J552" s="21" t="str">
        <f aca="false">IF(E552="","",ตั้งค่า!$B$4+SUM($H$5:H552)-SUM($I$5:I552))</f>
        <v/>
      </c>
      <c r="K552" s="22" t="str">
        <f aca="false">IF(A552="","",MONTH(A552))</f>
        <v/>
      </c>
      <c r="L552" s="22" t="str">
        <f aca="false">IF(A552="","",YEAR(A552))</f>
        <v/>
      </c>
    </row>
    <row r="553" customFormat="false" ht="15" hidden="false" customHeight="false" outlineLevel="0" collapsed="false">
      <c r="A553" s="23"/>
      <c r="B553" s="24"/>
      <c r="C553" s="24"/>
      <c r="D553" s="20" t="str">
        <f aca="false">IF(C553="","",IF(COUNTIF(ตั้งค่า!$A$7:$A$18,C553)&gt;0,"รายรับ",IF(COUNTIF(ตั้งค่า!$C$7:$C$31,C553)&gt;0,"รายจ่าย","ไม่พบหมวดหมู่")))</f>
        <v/>
      </c>
      <c r="E553" s="25"/>
      <c r="F553" s="24"/>
      <c r="G553" s="24"/>
      <c r="H553" s="21" t="n">
        <f aca="false">IF(OR(E553="",D553&lt;&gt;"รายรับ"),0,E553)</f>
        <v>0</v>
      </c>
      <c r="I553" s="21" t="n">
        <f aca="false">IF(OR(E553="",D553&lt;&gt;"รายจ่าย"),0,E553)</f>
        <v>0</v>
      </c>
      <c r="J553" s="21" t="str">
        <f aca="false">IF(E553="","",ตั้งค่า!$B$4+SUM($H$5:H553)-SUM($I$5:I553))</f>
        <v/>
      </c>
      <c r="K553" s="22" t="str">
        <f aca="false">IF(A553="","",MONTH(A553))</f>
        <v/>
      </c>
      <c r="L553" s="22" t="str">
        <f aca="false">IF(A553="","",YEAR(A553))</f>
        <v/>
      </c>
    </row>
    <row r="554" customFormat="false" ht="15" hidden="false" customHeight="false" outlineLevel="0" collapsed="false">
      <c r="A554" s="23"/>
      <c r="B554" s="24"/>
      <c r="C554" s="24"/>
      <c r="D554" s="20" t="str">
        <f aca="false">IF(C554="","",IF(COUNTIF(ตั้งค่า!$A$7:$A$18,C554)&gt;0,"รายรับ",IF(COUNTIF(ตั้งค่า!$C$7:$C$31,C554)&gt;0,"รายจ่าย","ไม่พบหมวดหมู่")))</f>
        <v/>
      </c>
      <c r="E554" s="25"/>
      <c r="F554" s="24"/>
      <c r="G554" s="24"/>
      <c r="H554" s="21" t="n">
        <f aca="false">IF(OR(E554="",D554&lt;&gt;"รายรับ"),0,E554)</f>
        <v>0</v>
      </c>
      <c r="I554" s="21" t="n">
        <f aca="false">IF(OR(E554="",D554&lt;&gt;"รายจ่าย"),0,E554)</f>
        <v>0</v>
      </c>
      <c r="J554" s="21" t="str">
        <f aca="false">IF(E554="","",ตั้งค่า!$B$4+SUM($H$5:H554)-SUM($I$5:I554))</f>
        <v/>
      </c>
      <c r="K554" s="22" t="str">
        <f aca="false">IF(A554="","",MONTH(A554))</f>
        <v/>
      </c>
      <c r="L554" s="22" t="str">
        <f aca="false">IF(A554="","",YEAR(A554))</f>
        <v/>
      </c>
    </row>
    <row r="555" customFormat="false" ht="15" hidden="false" customHeight="false" outlineLevel="0" collapsed="false">
      <c r="A555" s="23"/>
      <c r="B555" s="24"/>
      <c r="C555" s="24"/>
      <c r="D555" s="20" t="str">
        <f aca="false">IF(C555="","",IF(COUNTIF(ตั้งค่า!$A$7:$A$18,C555)&gt;0,"รายรับ",IF(COUNTIF(ตั้งค่า!$C$7:$C$31,C555)&gt;0,"รายจ่าย","ไม่พบหมวดหมู่")))</f>
        <v/>
      </c>
      <c r="E555" s="25"/>
      <c r="F555" s="24"/>
      <c r="G555" s="24"/>
      <c r="H555" s="21" t="n">
        <f aca="false">IF(OR(E555="",D555&lt;&gt;"รายรับ"),0,E555)</f>
        <v>0</v>
      </c>
      <c r="I555" s="21" t="n">
        <f aca="false">IF(OR(E555="",D555&lt;&gt;"รายจ่าย"),0,E555)</f>
        <v>0</v>
      </c>
      <c r="J555" s="21" t="str">
        <f aca="false">IF(E555="","",ตั้งค่า!$B$4+SUM($H$5:H555)-SUM($I$5:I555))</f>
        <v/>
      </c>
      <c r="K555" s="22" t="str">
        <f aca="false">IF(A555="","",MONTH(A555))</f>
        <v/>
      </c>
      <c r="L555" s="22" t="str">
        <f aca="false">IF(A555="","",YEAR(A555))</f>
        <v/>
      </c>
    </row>
    <row r="556" customFormat="false" ht="15" hidden="false" customHeight="false" outlineLevel="0" collapsed="false">
      <c r="A556" s="23"/>
      <c r="B556" s="24"/>
      <c r="C556" s="24"/>
      <c r="D556" s="20" t="str">
        <f aca="false">IF(C556="","",IF(COUNTIF(ตั้งค่า!$A$7:$A$18,C556)&gt;0,"รายรับ",IF(COUNTIF(ตั้งค่า!$C$7:$C$31,C556)&gt;0,"รายจ่าย","ไม่พบหมวดหมู่")))</f>
        <v/>
      </c>
      <c r="E556" s="25"/>
      <c r="F556" s="24"/>
      <c r="G556" s="24"/>
      <c r="H556" s="21" t="n">
        <f aca="false">IF(OR(E556="",D556&lt;&gt;"รายรับ"),0,E556)</f>
        <v>0</v>
      </c>
      <c r="I556" s="21" t="n">
        <f aca="false">IF(OR(E556="",D556&lt;&gt;"รายจ่าย"),0,E556)</f>
        <v>0</v>
      </c>
      <c r="J556" s="21" t="str">
        <f aca="false">IF(E556="","",ตั้งค่า!$B$4+SUM($H$5:H556)-SUM($I$5:I556))</f>
        <v/>
      </c>
      <c r="K556" s="22" t="str">
        <f aca="false">IF(A556="","",MONTH(A556))</f>
        <v/>
      </c>
      <c r="L556" s="22" t="str">
        <f aca="false">IF(A556="","",YEAR(A556))</f>
        <v/>
      </c>
    </row>
    <row r="557" customFormat="false" ht="15" hidden="false" customHeight="false" outlineLevel="0" collapsed="false">
      <c r="A557" s="23"/>
      <c r="B557" s="24"/>
      <c r="C557" s="24"/>
      <c r="D557" s="20" t="str">
        <f aca="false">IF(C557="","",IF(COUNTIF(ตั้งค่า!$A$7:$A$18,C557)&gt;0,"รายรับ",IF(COUNTIF(ตั้งค่า!$C$7:$C$31,C557)&gt;0,"รายจ่าย","ไม่พบหมวดหมู่")))</f>
        <v/>
      </c>
      <c r="E557" s="25"/>
      <c r="F557" s="24"/>
      <c r="G557" s="24"/>
      <c r="H557" s="21" t="n">
        <f aca="false">IF(OR(E557="",D557&lt;&gt;"รายรับ"),0,E557)</f>
        <v>0</v>
      </c>
      <c r="I557" s="21" t="n">
        <f aca="false">IF(OR(E557="",D557&lt;&gt;"รายจ่าย"),0,E557)</f>
        <v>0</v>
      </c>
      <c r="J557" s="21" t="str">
        <f aca="false">IF(E557="","",ตั้งค่า!$B$4+SUM($H$5:H557)-SUM($I$5:I557))</f>
        <v/>
      </c>
      <c r="K557" s="22" t="str">
        <f aca="false">IF(A557="","",MONTH(A557))</f>
        <v/>
      </c>
      <c r="L557" s="22" t="str">
        <f aca="false">IF(A557="","",YEAR(A557))</f>
        <v/>
      </c>
    </row>
    <row r="558" customFormat="false" ht="15" hidden="false" customHeight="false" outlineLevel="0" collapsed="false">
      <c r="A558" s="23"/>
      <c r="B558" s="24"/>
      <c r="C558" s="24"/>
      <c r="D558" s="20" t="str">
        <f aca="false">IF(C558="","",IF(COUNTIF(ตั้งค่า!$A$7:$A$18,C558)&gt;0,"รายรับ",IF(COUNTIF(ตั้งค่า!$C$7:$C$31,C558)&gt;0,"รายจ่าย","ไม่พบหมวดหมู่")))</f>
        <v/>
      </c>
      <c r="E558" s="25"/>
      <c r="F558" s="24"/>
      <c r="G558" s="24"/>
      <c r="H558" s="21" t="n">
        <f aca="false">IF(OR(E558="",D558&lt;&gt;"รายรับ"),0,E558)</f>
        <v>0</v>
      </c>
      <c r="I558" s="21" t="n">
        <f aca="false">IF(OR(E558="",D558&lt;&gt;"รายจ่าย"),0,E558)</f>
        <v>0</v>
      </c>
      <c r="J558" s="21" t="str">
        <f aca="false">IF(E558="","",ตั้งค่า!$B$4+SUM($H$5:H558)-SUM($I$5:I558))</f>
        <v/>
      </c>
      <c r="K558" s="22" t="str">
        <f aca="false">IF(A558="","",MONTH(A558))</f>
        <v/>
      </c>
      <c r="L558" s="22" t="str">
        <f aca="false">IF(A558="","",YEAR(A558))</f>
        <v/>
      </c>
    </row>
    <row r="559" customFormat="false" ht="15" hidden="false" customHeight="false" outlineLevel="0" collapsed="false">
      <c r="A559" s="23"/>
      <c r="B559" s="24"/>
      <c r="C559" s="24"/>
      <c r="D559" s="20" t="str">
        <f aca="false">IF(C559="","",IF(COUNTIF(ตั้งค่า!$A$7:$A$18,C559)&gt;0,"รายรับ",IF(COUNTIF(ตั้งค่า!$C$7:$C$31,C559)&gt;0,"รายจ่าย","ไม่พบหมวดหมู่")))</f>
        <v/>
      </c>
      <c r="E559" s="25"/>
      <c r="F559" s="24"/>
      <c r="G559" s="24"/>
      <c r="H559" s="21" t="n">
        <f aca="false">IF(OR(E559="",D559&lt;&gt;"รายรับ"),0,E559)</f>
        <v>0</v>
      </c>
      <c r="I559" s="21" t="n">
        <f aca="false">IF(OR(E559="",D559&lt;&gt;"รายจ่าย"),0,E559)</f>
        <v>0</v>
      </c>
      <c r="J559" s="21" t="str">
        <f aca="false">IF(E559="","",ตั้งค่า!$B$4+SUM($H$5:H559)-SUM($I$5:I559))</f>
        <v/>
      </c>
      <c r="K559" s="22" t="str">
        <f aca="false">IF(A559="","",MONTH(A559))</f>
        <v/>
      </c>
      <c r="L559" s="22" t="str">
        <f aca="false">IF(A559="","",YEAR(A559))</f>
        <v/>
      </c>
    </row>
    <row r="560" customFormat="false" ht="15" hidden="false" customHeight="false" outlineLevel="0" collapsed="false">
      <c r="A560" s="23"/>
      <c r="B560" s="24"/>
      <c r="C560" s="24"/>
      <c r="D560" s="20" t="str">
        <f aca="false">IF(C560="","",IF(COUNTIF(ตั้งค่า!$A$7:$A$18,C560)&gt;0,"รายรับ",IF(COUNTIF(ตั้งค่า!$C$7:$C$31,C560)&gt;0,"รายจ่าย","ไม่พบหมวดหมู่")))</f>
        <v/>
      </c>
      <c r="E560" s="25"/>
      <c r="F560" s="24"/>
      <c r="G560" s="24"/>
      <c r="H560" s="21" t="n">
        <f aca="false">IF(OR(E560="",D560&lt;&gt;"รายรับ"),0,E560)</f>
        <v>0</v>
      </c>
      <c r="I560" s="21" t="n">
        <f aca="false">IF(OR(E560="",D560&lt;&gt;"รายจ่าย"),0,E560)</f>
        <v>0</v>
      </c>
      <c r="J560" s="21" t="str">
        <f aca="false">IF(E560="","",ตั้งค่า!$B$4+SUM($H$5:H560)-SUM($I$5:I560))</f>
        <v/>
      </c>
      <c r="K560" s="22" t="str">
        <f aca="false">IF(A560="","",MONTH(A560))</f>
        <v/>
      </c>
      <c r="L560" s="22" t="str">
        <f aca="false">IF(A560="","",YEAR(A560))</f>
        <v/>
      </c>
    </row>
    <row r="561" customFormat="false" ht="15" hidden="false" customHeight="false" outlineLevel="0" collapsed="false">
      <c r="A561" s="23"/>
      <c r="B561" s="24"/>
      <c r="C561" s="24"/>
      <c r="D561" s="20" t="str">
        <f aca="false">IF(C561="","",IF(COUNTIF(ตั้งค่า!$A$7:$A$18,C561)&gt;0,"รายรับ",IF(COUNTIF(ตั้งค่า!$C$7:$C$31,C561)&gt;0,"รายจ่าย","ไม่พบหมวดหมู่")))</f>
        <v/>
      </c>
      <c r="E561" s="25"/>
      <c r="F561" s="24"/>
      <c r="G561" s="24"/>
      <c r="H561" s="21" t="n">
        <f aca="false">IF(OR(E561="",D561&lt;&gt;"รายรับ"),0,E561)</f>
        <v>0</v>
      </c>
      <c r="I561" s="21" t="n">
        <f aca="false">IF(OR(E561="",D561&lt;&gt;"รายจ่าย"),0,E561)</f>
        <v>0</v>
      </c>
      <c r="J561" s="21" t="str">
        <f aca="false">IF(E561="","",ตั้งค่า!$B$4+SUM($H$5:H561)-SUM($I$5:I561))</f>
        <v/>
      </c>
      <c r="K561" s="22" t="str">
        <f aca="false">IF(A561="","",MONTH(A561))</f>
        <v/>
      </c>
      <c r="L561" s="22" t="str">
        <f aca="false">IF(A561="","",YEAR(A561))</f>
        <v/>
      </c>
    </row>
    <row r="562" customFormat="false" ht="15" hidden="false" customHeight="false" outlineLevel="0" collapsed="false">
      <c r="A562" s="23"/>
      <c r="B562" s="24"/>
      <c r="C562" s="24"/>
      <c r="D562" s="20" t="str">
        <f aca="false">IF(C562="","",IF(COUNTIF(ตั้งค่า!$A$7:$A$18,C562)&gt;0,"รายรับ",IF(COUNTIF(ตั้งค่า!$C$7:$C$31,C562)&gt;0,"รายจ่าย","ไม่พบหมวดหมู่")))</f>
        <v/>
      </c>
      <c r="E562" s="25"/>
      <c r="F562" s="24"/>
      <c r="G562" s="24"/>
      <c r="H562" s="21" t="n">
        <f aca="false">IF(OR(E562="",D562&lt;&gt;"รายรับ"),0,E562)</f>
        <v>0</v>
      </c>
      <c r="I562" s="21" t="n">
        <f aca="false">IF(OR(E562="",D562&lt;&gt;"รายจ่าย"),0,E562)</f>
        <v>0</v>
      </c>
      <c r="J562" s="21" t="str">
        <f aca="false">IF(E562="","",ตั้งค่า!$B$4+SUM($H$5:H562)-SUM($I$5:I562))</f>
        <v/>
      </c>
      <c r="K562" s="22" t="str">
        <f aca="false">IF(A562="","",MONTH(A562))</f>
        <v/>
      </c>
      <c r="L562" s="22" t="str">
        <f aca="false">IF(A562="","",YEAR(A562))</f>
        <v/>
      </c>
    </row>
    <row r="563" customFormat="false" ht="15" hidden="false" customHeight="false" outlineLevel="0" collapsed="false">
      <c r="A563" s="23"/>
      <c r="B563" s="24"/>
      <c r="C563" s="24"/>
      <c r="D563" s="20" t="str">
        <f aca="false">IF(C563="","",IF(COUNTIF(ตั้งค่า!$A$7:$A$18,C563)&gt;0,"รายรับ",IF(COUNTIF(ตั้งค่า!$C$7:$C$31,C563)&gt;0,"รายจ่าย","ไม่พบหมวดหมู่")))</f>
        <v/>
      </c>
      <c r="E563" s="25"/>
      <c r="F563" s="24"/>
      <c r="G563" s="24"/>
      <c r="H563" s="21" t="n">
        <f aca="false">IF(OR(E563="",D563&lt;&gt;"รายรับ"),0,E563)</f>
        <v>0</v>
      </c>
      <c r="I563" s="21" t="n">
        <f aca="false">IF(OR(E563="",D563&lt;&gt;"รายจ่าย"),0,E563)</f>
        <v>0</v>
      </c>
      <c r="J563" s="21" t="str">
        <f aca="false">IF(E563="","",ตั้งค่า!$B$4+SUM($H$5:H563)-SUM($I$5:I563))</f>
        <v/>
      </c>
      <c r="K563" s="22" t="str">
        <f aca="false">IF(A563="","",MONTH(A563))</f>
        <v/>
      </c>
      <c r="L563" s="22" t="str">
        <f aca="false">IF(A563="","",YEAR(A563))</f>
        <v/>
      </c>
    </row>
    <row r="564" customFormat="false" ht="15" hidden="false" customHeight="false" outlineLevel="0" collapsed="false">
      <c r="A564" s="23"/>
      <c r="B564" s="24"/>
      <c r="C564" s="24"/>
      <c r="D564" s="20" t="str">
        <f aca="false">IF(C564="","",IF(COUNTIF(ตั้งค่า!$A$7:$A$18,C564)&gt;0,"รายรับ",IF(COUNTIF(ตั้งค่า!$C$7:$C$31,C564)&gt;0,"รายจ่าย","ไม่พบหมวดหมู่")))</f>
        <v/>
      </c>
      <c r="E564" s="25"/>
      <c r="F564" s="24"/>
      <c r="G564" s="24"/>
      <c r="H564" s="21" t="n">
        <f aca="false">IF(OR(E564="",D564&lt;&gt;"รายรับ"),0,E564)</f>
        <v>0</v>
      </c>
      <c r="I564" s="21" t="n">
        <f aca="false">IF(OR(E564="",D564&lt;&gt;"รายจ่าย"),0,E564)</f>
        <v>0</v>
      </c>
      <c r="J564" s="21" t="str">
        <f aca="false">IF(E564="","",ตั้งค่า!$B$4+SUM($H$5:H564)-SUM($I$5:I564))</f>
        <v/>
      </c>
      <c r="K564" s="22" t="str">
        <f aca="false">IF(A564="","",MONTH(A564))</f>
        <v/>
      </c>
      <c r="L564" s="22" t="str">
        <f aca="false">IF(A564="","",YEAR(A564))</f>
        <v/>
      </c>
    </row>
    <row r="565" customFormat="false" ht="15" hidden="false" customHeight="false" outlineLevel="0" collapsed="false">
      <c r="A565" s="23"/>
      <c r="B565" s="24"/>
      <c r="C565" s="24"/>
      <c r="D565" s="20" t="str">
        <f aca="false">IF(C565="","",IF(COUNTIF(ตั้งค่า!$A$7:$A$18,C565)&gt;0,"รายรับ",IF(COUNTIF(ตั้งค่า!$C$7:$C$31,C565)&gt;0,"รายจ่าย","ไม่พบหมวดหมู่")))</f>
        <v/>
      </c>
      <c r="E565" s="25"/>
      <c r="F565" s="24"/>
      <c r="G565" s="24"/>
      <c r="H565" s="21" t="n">
        <f aca="false">IF(OR(E565="",D565&lt;&gt;"รายรับ"),0,E565)</f>
        <v>0</v>
      </c>
      <c r="I565" s="21" t="n">
        <f aca="false">IF(OR(E565="",D565&lt;&gt;"รายจ่าย"),0,E565)</f>
        <v>0</v>
      </c>
      <c r="J565" s="21" t="str">
        <f aca="false">IF(E565="","",ตั้งค่า!$B$4+SUM($H$5:H565)-SUM($I$5:I565))</f>
        <v/>
      </c>
      <c r="K565" s="22" t="str">
        <f aca="false">IF(A565="","",MONTH(A565))</f>
        <v/>
      </c>
      <c r="L565" s="22" t="str">
        <f aca="false">IF(A565="","",YEAR(A565))</f>
        <v/>
      </c>
    </row>
    <row r="566" customFormat="false" ht="15" hidden="false" customHeight="false" outlineLevel="0" collapsed="false">
      <c r="A566" s="23"/>
      <c r="B566" s="24"/>
      <c r="C566" s="24"/>
      <c r="D566" s="20" t="str">
        <f aca="false">IF(C566="","",IF(COUNTIF(ตั้งค่า!$A$7:$A$18,C566)&gt;0,"รายรับ",IF(COUNTIF(ตั้งค่า!$C$7:$C$31,C566)&gt;0,"รายจ่าย","ไม่พบหมวดหมู่")))</f>
        <v/>
      </c>
      <c r="E566" s="25"/>
      <c r="F566" s="24"/>
      <c r="G566" s="24"/>
      <c r="H566" s="21" t="n">
        <f aca="false">IF(OR(E566="",D566&lt;&gt;"รายรับ"),0,E566)</f>
        <v>0</v>
      </c>
      <c r="I566" s="21" t="n">
        <f aca="false">IF(OR(E566="",D566&lt;&gt;"รายจ่าย"),0,E566)</f>
        <v>0</v>
      </c>
      <c r="J566" s="21" t="str">
        <f aca="false">IF(E566="","",ตั้งค่า!$B$4+SUM($H$5:H566)-SUM($I$5:I566))</f>
        <v/>
      </c>
      <c r="K566" s="22" t="str">
        <f aca="false">IF(A566="","",MONTH(A566))</f>
        <v/>
      </c>
      <c r="L566" s="22" t="str">
        <f aca="false">IF(A566="","",YEAR(A566))</f>
        <v/>
      </c>
    </row>
    <row r="567" customFormat="false" ht="15" hidden="false" customHeight="false" outlineLevel="0" collapsed="false">
      <c r="A567" s="23"/>
      <c r="B567" s="24"/>
      <c r="C567" s="24"/>
      <c r="D567" s="20" t="str">
        <f aca="false">IF(C567="","",IF(COUNTIF(ตั้งค่า!$A$7:$A$18,C567)&gt;0,"รายรับ",IF(COUNTIF(ตั้งค่า!$C$7:$C$31,C567)&gt;0,"รายจ่าย","ไม่พบหมวดหมู่")))</f>
        <v/>
      </c>
      <c r="E567" s="25"/>
      <c r="F567" s="24"/>
      <c r="G567" s="24"/>
      <c r="H567" s="21" t="n">
        <f aca="false">IF(OR(E567="",D567&lt;&gt;"รายรับ"),0,E567)</f>
        <v>0</v>
      </c>
      <c r="I567" s="21" t="n">
        <f aca="false">IF(OR(E567="",D567&lt;&gt;"รายจ่าย"),0,E567)</f>
        <v>0</v>
      </c>
      <c r="J567" s="21" t="str">
        <f aca="false">IF(E567="","",ตั้งค่า!$B$4+SUM($H$5:H567)-SUM($I$5:I567))</f>
        <v/>
      </c>
      <c r="K567" s="22" t="str">
        <f aca="false">IF(A567="","",MONTH(A567))</f>
        <v/>
      </c>
      <c r="L567" s="22" t="str">
        <f aca="false">IF(A567="","",YEAR(A567))</f>
        <v/>
      </c>
    </row>
    <row r="568" customFormat="false" ht="15" hidden="false" customHeight="false" outlineLevel="0" collapsed="false">
      <c r="A568" s="23"/>
      <c r="B568" s="24"/>
      <c r="C568" s="24"/>
      <c r="D568" s="20" t="str">
        <f aca="false">IF(C568="","",IF(COUNTIF(ตั้งค่า!$A$7:$A$18,C568)&gt;0,"รายรับ",IF(COUNTIF(ตั้งค่า!$C$7:$C$31,C568)&gt;0,"รายจ่าย","ไม่พบหมวดหมู่")))</f>
        <v/>
      </c>
      <c r="E568" s="25"/>
      <c r="F568" s="24"/>
      <c r="G568" s="24"/>
      <c r="H568" s="21" t="n">
        <f aca="false">IF(OR(E568="",D568&lt;&gt;"รายรับ"),0,E568)</f>
        <v>0</v>
      </c>
      <c r="I568" s="21" t="n">
        <f aca="false">IF(OR(E568="",D568&lt;&gt;"รายจ่าย"),0,E568)</f>
        <v>0</v>
      </c>
      <c r="J568" s="21" t="str">
        <f aca="false">IF(E568="","",ตั้งค่า!$B$4+SUM($H$5:H568)-SUM($I$5:I568))</f>
        <v/>
      </c>
      <c r="K568" s="22" t="str">
        <f aca="false">IF(A568="","",MONTH(A568))</f>
        <v/>
      </c>
      <c r="L568" s="22" t="str">
        <f aca="false">IF(A568="","",YEAR(A568))</f>
        <v/>
      </c>
    </row>
    <row r="569" customFormat="false" ht="15" hidden="false" customHeight="false" outlineLevel="0" collapsed="false">
      <c r="A569" s="23"/>
      <c r="B569" s="24"/>
      <c r="C569" s="24"/>
      <c r="D569" s="20" t="str">
        <f aca="false">IF(C569="","",IF(COUNTIF(ตั้งค่า!$A$7:$A$18,C569)&gt;0,"รายรับ",IF(COUNTIF(ตั้งค่า!$C$7:$C$31,C569)&gt;0,"รายจ่าย","ไม่พบหมวดหมู่")))</f>
        <v/>
      </c>
      <c r="E569" s="25"/>
      <c r="F569" s="24"/>
      <c r="G569" s="24"/>
      <c r="H569" s="21" t="n">
        <f aca="false">IF(OR(E569="",D569&lt;&gt;"รายรับ"),0,E569)</f>
        <v>0</v>
      </c>
      <c r="I569" s="21" t="n">
        <f aca="false">IF(OR(E569="",D569&lt;&gt;"รายจ่าย"),0,E569)</f>
        <v>0</v>
      </c>
      <c r="J569" s="21" t="str">
        <f aca="false">IF(E569="","",ตั้งค่า!$B$4+SUM($H$5:H569)-SUM($I$5:I569))</f>
        <v/>
      </c>
      <c r="K569" s="22" t="str">
        <f aca="false">IF(A569="","",MONTH(A569))</f>
        <v/>
      </c>
      <c r="L569" s="22" t="str">
        <f aca="false">IF(A569="","",YEAR(A569))</f>
        <v/>
      </c>
    </row>
    <row r="570" customFormat="false" ht="15" hidden="false" customHeight="false" outlineLevel="0" collapsed="false">
      <c r="A570" s="23"/>
      <c r="B570" s="24"/>
      <c r="C570" s="24"/>
      <c r="D570" s="20" t="str">
        <f aca="false">IF(C570="","",IF(COUNTIF(ตั้งค่า!$A$7:$A$18,C570)&gt;0,"รายรับ",IF(COUNTIF(ตั้งค่า!$C$7:$C$31,C570)&gt;0,"รายจ่าย","ไม่พบหมวดหมู่")))</f>
        <v/>
      </c>
      <c r="E570" s="25"/>
      <c r="F570" s="24"/>
      <c r="G570" s="24"/>
      <c r="H570" s="21" t="n">
        <f aca="false">IF(OR(E570="",D570&lt;&gt;"รายรับ"),0,E570)</f>
        <v>0</v>
      </c>
      <c r="I570" s="21" t="n">
        <f aca="false">IF(OR(E570="",D570&lt;&gt;"รายจ่าย"),0,E570)</f>
        <v>0</v>
      </c>
      <c r="J570" s="21" t="str">
        <f aca="false">IF(E570="","",ตั้งค่า!$B$4+SUM($H$5:H570)-SUM($I$5:I570))</f>
        <v/>
      </c>
      <c r="K570" s="22" t="str">
        <f aca="false">IF(A570="","",MONTH(A570))</f>
        <v/>
      </c>
      <c r="L570" s="22" t="str">
        <f aca="false">IF(A570="","",YEAR(A570))</f>
        <v/>
      </c>
    </row>
    <row r="571" customFormat="false" ht="15" hidden="false" customHeight="false" outlineLevel="0" collapsed="false">
      <c r="A571" s="23"/>
      <c r="B571" s="24"/>
      <c r="C571" s="24"/>
      <c r="D571" s="20" t="str">
        <f aca="false">IF(C571="","",IF(COUNTIF(ตั้งค่า!$A$7:$A$18,C571)&gt;0,"รายรับ",IF(COUNTIF(ตั้งค่า!$C$7:$C$31,C571)&gt;0,"รายจ่าย","ไม่พบหมวดหมู่")))</f>
        <v/>
      </c>
      <c r="E571" s="25"/>
      <c r="F571" s="24"/>
      <c r="G571" s="24"/>
      <c r="H571" s="21" t="n">
        <f aca="false">IF(OR(E571="",D571&lt;&gt;"รายรับ"),0,E571)</f>
        <v>0</v>
      </c>
      <c r="I571" s="21" t="n">
        <f aca="false">IF(OR(E571="",D571&lt;&gt;"รายจ่าย"),0,E571)</f>
        <v>0</v>
      </c>
      <c r="J571" s="21" t="str">
        <f aca="false">IF(E571="","",ตั้งค่า!$B$4+SUM($H$5:H571)-SUM($I$5:I571))</f>
        <v/>
      </c>
      <c r="K571" s="22" t="str">
        <f aca="false">IF(A571="","",MONTH(A571))</f>
        <v/>
      </c>
      <c r="L571" s="22" t="str">
        <f aca="false">IF(A571="","",YEAR(A571))</f>
        <v/>
      </c>
    </row>
    <row r="572" customFormat="false" ht="15" hidden="false" customHeight="false" outlineLevel="0" collapsed="false">
      <c r="A572" s="23"/>
      <c r="B572" s="24"/>
      <c r="C572" s="24"/>
      <c r="D572" s="20" t="str">
        <f aca="false">IF(C572="","",IF(COUNTIF(ตั้งค่า!$A$7:$A$18,C572)&gt;0,"รายรับ",IF(COUNTIF(ตั้งค่า!$C$7:$C$31,C572)&gt;0,"รายจ่าย","ไม่พบหมวดหมู่")))</f>
        <v/>
      </c>
      <c r="E572" s="25"/>
      <c r="F572" s="24"/>
      <c r="G572" s="24"/>
      <c r="H572" s="21" t="n">
        <f aca="false">IF(OR(E572="",D572&lt;&gt;"รายรับ"),0,E572)</f>
        <v>0</v>
      </c>
      <c r="I572" s="21" t="n">
        <f aca="false">IF(OR(E572="",D572&lt;&gt;"รายจ่าย"),0,E572)</f>
        <v>0</v>
      </c>
      <c r="J572" s="21" t="str">
        <f aca="false">IF(E572="","",ตั้งค่า!$B$4+SUM($H$5:H572)-SUM($I$5:I572))</f>
        <v/>
      </c>
      <c r="K572" s="22" t="str">
        <f aca="false">IF(A572="","",MONTH(A572))</f>
        <v/>
      </c>
      <c r="L572" s="22" t="str">
        <f aca="false">IF(A572="","",YEAR(A572))</f>
        <v/>
      </c>
    </row>
    <row r="573" customFormat="false" ht="15" hidden="false" customHeight="false" outlineLevel="0" collapsed="false">
      <c r="A573" s="23"/>
      <c r="B573" s="24"/>
      <c r="C573" s="24"/>
      <c r="D573" s="20" t="str">
        <f aca="false">IF(C573="","",IF(COUNTIF(ตั้งค่า!$A$7:$A$18,C573)&gt;0,"รายรับ",IF(COUNTIF(ตั้งค่า!$C$7:$C$31,C573)&gt;0,"รายจ่าย","ไม่พบหมวดหมู่")))</f>
        <v/>
      </c>
      <c r="E573" s="25"/>
      <c r="F573" s="24"/>
      <c r="G573" s="24"/>
      <c r="H573" s="21" t="n">
        <f aca="false">IF(OR(E573="",D573&lt;&gt;"รายรับ"),0,E573)</f>
        <v>0</v>
      </c>
      <c r="I573" s="21" t="n">
        <f aca="false">IF(OR(E573="",D573&lt;&gt;"รายจ่าย"),0,E573)</f>
        <v>0</v>
      </c>
      <c r="J573" s="21" t="str">
        <f aca="false">IF(E573="","",ตั้งค่า!$B$4+SUM($H$5:H573)-SUM($I$5:I573))</f>
        <v/>
      </c>
      <c r="K573" s="22" t="str">
        <f aca="false">IF(A573="","",MONTH(A573))</f>
        <v/>
      </c>
      <c r="L573" s="22" t="str">
        <f aca="false">IF(A573="","",YEAR(A573))</f>
        <v/>
      </c>
    </row>
    <row r="574" customFormat="false" ht="15" hidden="false" customHeight="false" outlineLevel="0" collapsed="false">
      <c r="A574" s="23"/>
      <c r="B574" s="24"/>
      <c r="C574" s="24"/>
      <c r="D574" s="20" t="str">
        <f aca="false">IF(C574="","",IF(COUNTIF(ตั้งค่า!$A$7:$A$18,C574)&gt;0,"รายรับ",IF(COUNTIF(ตั้งค่า!$C$7:$C$31,C574)&gt;0,"รายจ่าย","ไม่พบหมวดหมู่")))</f>
        <v/>
      </c>
      <c r="E574" s="25"/>
      <c r="F574" s="24"/>
      <c r="G574" s="24"/>
      <c r="H574" s="21" t="n">
        <f aca="false">IF(OR(E574="",D574&lt;&gt;"รายรับ"),0,E574)</f>
        <v>0</v>
      </c>
      <c r="I574" s="21" t="n">
        <f aca="false">IF(OR(E574="",D574&lt;&gt;"รายจ่าย"),0,E574)</f>
        <v>0</v>
      </c>
      <c r="J574" s="21" t="str">
        <f aca="false">IF(E574="","",ตั้งค่า!$B$4+SUM($H$5:H574)-SUM($I$5:I574))</f>
        <v/>
      </c>
      <c r="K574" s="22" t="str">
        <f aca="false">IF(A574="","",MONTH(A574))</f>
        <v/>
      </c>
      <c r="L574" s="22" t="str">
        <f aca="false">IF(A574="","",YEAR(A574))</f>
        <v/>
      </c>
    </row>
    <row r="575" customFormat="false" ht="15" hidden="false" customHeight="false" outlineLevel="0" collapsed="false">
      <c r="A575" s="23"/>
      <c r="B575" s="24"/>
      <c r="C575" s="24"/>
      <c r="D575" s="20" t="str">
        <f aca="false">IF(C575="","",IF(COUNTIF(ตั้งค่า!$A$7:$A$18,C575)&gt;0,"รายรับ",IF(COUNTIF(ตั้งค่า!$C$7:$C$31,C575)&gt;0,"รายจ่าย","ไม่พบหมวดหมู่")))</f>
        <v/>
      </c>
      <c r="E575" s="25"/>
      <c r="F575" s="24"/>
      <c r="G575" s="24"/>
      <c r="H575" s="21" t="n">
        <f aca="false">IF(OR(E575="",D575&lt;&gt;"รายรับ"),0,E575)</f>
        <v>0</v>
      </c>
      <c r="I575" s="21" t="n">
        <f aca="false">IF(OR(E575="",D575&lt;&gt;"รายจ่าย"),0,E575)</f>
        <v>0</v>
      </c>
      <c r="J575" s="21" t="str">
        <f aca="false">IF(E575="","",ตั้งค่า!$B$4+SUM($H$5:H575)-SUM($I$5:I575))</f>
        <v/>
      </c>
      <c r="K575" s="22" t="str">
        <f aca="false">IF(A575="","",MONTH(A575))</f>
        <v/>
      </c>
      <c r="L575" s="22" t="str">
        <f aca="false">IF(A575="","",YEAR(A575))</f>
        <v/>
      </c>
    </row>
    <row r="576" customFormat="false" ht="15" hidden="false" customHeight="false" outlineLevel="0" collapsed="false">
      <c r="A576" s="23"/>
      <c r="B576" s="24"/>
      <c r="C576" s="24"/>
      <c r="D576" s="20" t="str">
        <f aca="false">IF(C576="","",IF(COUNTIF(ตั้งค่า!$A$7:$A$18,C576)&gt;0,"รายรับ",IF(COUNTIF(ตั้งค่า!$C$7:$C$31,C576)&gt;0,"รายจ่าย","ไม่พบหมวดหมู่")))</f>
        <v/>
      </c>
      <c r="E576" s="25"/>
      <c r="F576" s="24"/>
      <c r="G576" s="24"/>
      <c r="H576" s="21" t="n">
        <f aca="false">IF(OR(E576="",D576&lt;&gt;"รายรับ"),0,E576)</f>
        <v>0</v>
      </c>
      <c r="I576" s="21" t="n">
        <f aca="false">IF(OR(E576="",D576&lt;&gt;"รายจ่าย"),0,E576)</f>
        <v>0</v>
      </c>
      <c r="J576" s="21" t="str">
        <f aca="false">IF(E576="","",ตั้งค่า!$B$4+SUM($H$5:H576)-SUM($I$5:I576))</f>
        <v/>
      </c>
      <c r="K576" s="22" t="str">
        <f aca="false">IF(A576="","",MONTH(A576))</f>
        <v/>
      </c>
      <c r="L576" s="22" t="str">
        <f aca="false">IF(A576="","",YEAR(A576))</f>
        <v/>
      </c>
    </row>
    <row r="577" customFormat="false" ht="15" hidden="false" customHeight="false" outlineLevel="0" collapsed="false">
      <c r="A577" s="23"/>
      <c r="B577" s="24"/>
      <c r="C577" s="24"/>
      <c r="D577" s="20" t="str">
        <f aca="false">IF(C577="","",IF(COUNTIF(ตั้งค่า!$A$7:$A$18,C577)&gt;0,"รายรับ",IF(COUNTIF(ตั้งค่า!$C$7:$C$31,C577)&gt;0,"รายจ่าย","ไม่พบหมวดหมู่")))</f>
        <v/>
      </c>
      <c r="E577" s="25"/>
      <c r="F577" s="24"/>
      <c r="G577" s="24"/>
      <c r="H577" s="21" t="n">
        <f aca="false">IF(OR(E577="",D577&lt;&gt;"รายรับ"),0,E577)</f>
        <v>0</v>
      </c>
      <c r="I577" s="21" t="n">
        <f aca="false">IF(OR(E577="",D577&lt;&gt;"รายจ่าย"),0,E577)</f>
        <v>0</v>
      </c>
      <c r="J577" s="21" t="str">
        <f aca="false">IF(E577="","",ตั้งค่า!$B$4+SUM($H$5:H577)-SUM($I$5:I577))</f>
        <v/>
      </c>
      <c r="K577" s="22" t="str">
        <f aca="false">IF(A577="","",MONTH(A577))</f>
        <v/>
      </c>
      <c r="L577" s="22" t="str">
        <f aca="false">IF(A577="","",YEAR(A577))</f>
        <v/>
      </c>
    </row>
    <row r="578" customFormat="false" ht="15" hidden="false" customHeight="false" outlineLevel="0" collapsed="false">
      <c r="A578" s="23"/>
      <c r="B578" s="24"/>
      <c r="C578" s="24"/>
      <c r="D578" s="20" t="str">
        <f aca="false">IF(C578="","",IF(COUNTIF(ตั้งค่า!$A$7:$A$18,C578)&gt;0,"รายรับ",IF(COUNTIF(ตั้งค่า!$C$7:$C$31,C578)&gt;0,"รายจ่าย","ไม่พบหมวดหมู่")))</f>
        <v/>
      </c>
      <c r="E578" s="25"/>
      <c r="F578" s="24"/>
      <c r="G578" s="24"/>
      <c r="H578" s="21" t="n">
        <f aca="false">IF(OR(E578="",D578&lt;&gt;"รายรับ"),0,E578)</f>
        <v>0</v>
      </c>
      <c r="I578" s="21" t="n">
        <f aca="false">IF(OR(E578="",D578&lt;&gt;"รายจ่าย"),0,E578)</f>
        <v>0</v>
      </c>
      <c r="J578" s="21" t="str">
        <f aca="false">IF(E578="","",ตั้งค่า!$B$4+SUM($H$5:H578)-SUM($I$5:I578))</f>
        <v/>
      </c>
      <c r="K578" s="22" t="str">
        <f aca="false">IF(A578="","",MONTH(A578))</f>
        <v/>
      </c>
      <c r="L578" s="22" t="str">
        <f aca="false">IF(A578="","",YEAR(A578))</f>
        <v/>
      </c>
    </row>
    <row r="579" customFormat="false" ht="15" hidden="false" customHeight="false" outlineLevel="0" collapsed="false">
      <c r="A579" s="23"/>
      <c r="B579" s="24"/>
      <c r="C579" s="24"/>
      <c r="D579" s="20" t="str">
        <f aca="false">IF(C579="","",IF(COUNTIF(ตั้งค่า!$A$7:$A$18,C579)&gt;0,"รายรับ",IF(COUNTIF(ตั้งค่า!$C$7:$C$31,C579)&gt;0,"รายจ่าย","ไม่พบหมวดหมู่")))</f>
        <v/>
      </c>
      <c r="E579" s="25"/>
      <c r="F579" s="24"/>
      <c r="G579" s="24"/>
      <c r="H579" s="21" t="n">
        <f aca="false">IF(OR(E579="",D579&lt;&gt;"รายรับ"),0,E579)</f>
        <v>0</v>
      </c>
      <c r="I579" s="21" t="n">
        <f aca="false">IF(OR(E579="",D579&lt;&gt;"รายจ่าย"),0,E579)</f>
        <v>0</v>
      </c>
      <c r="J579" s="21" t="str">
        <f aca="false">IF(E579="","",ตั้งค่า!$B$4+SUM($H$5:H579)-SUM($I$5:I579))</f>
        <v/>
      </c>
      <c r="K579" s="22" t="str">
        <f aca="false">IF(A579="","",MONTH(A579))</f>
        <v/>
      </c>
      <c r="L579" s="22" t="str">
        <f aca="false">IF(A579="","",YEAR(A579))</f>
        <v/>
      </c>
    </row>
    <row r="580" customFormat="false" ht="15" hidden="false" customHeight="false" outlineLevel="0" collapsed="false">
      <c r="A580" s="23"/>
      <c r="B580" s="24"/>
      <c r="C580" s="24"/>
      <c r="D580" s="20" t="str">
        <f aca="false">IF(C580="","",IF(COUNTIF(ตั้งค่า!$A$7:$A$18,C580)&gt;0,"รายรับ",IF(COUNTIF(ตั้งค่า!$C$7:$C$31,C580)&gt;0,"รายจ่าย","ไม่พบหมวดหมู่")))</f>
        <v/>
      </c>
      <c r="E580" s="25"/>
      <c r="F580" s="24"/>
      <c r="G580" s="24"/>
      <c r="H580" s="21" t="n">
        <f aca="false">IF(OR(E580="",D580&lt;&gt;"รายรับ"),0,E580)</f>
        <v>0</v>
      </c>
      <c r="I580" s="21" t="n">
        <f aca="false">IF(OR(E580="",D580&lt;&gt;"รายจ่าย"),0,E580)</f>
        <v>0</v>
      </c>
      <c r="J580" s="21" t="str">
        <f aca="false">IF(E580="","",ตั้งค่า!$B$4+SUM($H$5:H580)-SUM($I$5:I580))</f>
        <v/>
      </c>
      <c r="K580" s="22" t="str">
        <f aca="false">IF(A580="","",MONTH(A580))</f>
        <v/>
      </c>
      <c r="L580" s="22" t="str">
        <f aca="false">IF(A580="","",YEAR(A580))</f>
        <v/>
      </c>
    </row>
    <row r="581" customFormat="false" ht="15" hidden="false" customHeight="false" outlineLevel="0" collapsed="false">
      <c r="A581" s="23"/>
      <c r="B581" s="24"/>
      <c r="C581" s="24"/>
      <c r="D581" s="20" t="str">
        <f aca="false">IF(C581="","",IF(COUNTIF(ตั้งค่า!$A$7:$A$18,C581)&gt;0,"รายรับ",IF(COUNTIF(ตั้งค่า!$C$7:$C$31,C581)&gt;0,"รายจ่าย","ไม่พบหมวดหมู่")))</f>
        <v/>
      </c>
      <c r="E581" s="25"/>
      <c r="F581" s="24"/>
      <c r="G581" s="24"/>
      <c r="H581" s="21" t="n">
        <f aca="false">IF(OR(E581="",D581&lt;&gt;"รายรับ"),0,E581)</f>
        <v>0</v>
      </c>
      <c r="I581" s="21" t="n">
        <f aca="false">IF(OR(E581="",D581&lt;&gt;"รายจ่าย"),0,E581)</f>
        <v>0</v>
      </c>
      <c r="J581" s="21" t="str">
        <f aca="false">IF(E581="","",ตั้งค่า!$B$4+SUM($H$5:H581)-SUM($I$5:I581))</f>
        <v/>
      </c>
      <c r="K581" s="22" t="str">
        <f aca="false">IF(A581="","",MONTH(A581))</f>
        <v/>
      </c>
      <c r="L581" s="22" t="str">
        <f aca="false">IF(A581="","",YEAR(A581))</f>
        <v/>
      </c>
    </row>
    <row r="582" customFormat="false" ht="15" hidden="false" customHeight="false" outlineLevel="0" collapsed="false">
      <c r="A582" s="23"/>
      <c r="B582" s="24"/>
      <c r="C582" s="24"/>
      <c r="D582" s="20" t="str">
        <f aca="false">IF(C582="","",IF(COUNTIF(ตั้งค่า!$A$7:$A$18,C582)&gt;0,"รายรับ",IF(COUNTIF(ตั้งค่า!$C$7:$C$31,C582)&gt;0,"รายจ่าย","ไม่พบหมวดหมู่")))</f>
        <v/>
      </c>
      <c r="E582" s="25"/>
      <c r="F582" s="24"/>
      <c r="G582" s="24"/>
      <c r="H582" s="21" t="n">
        <f aca="false">IF(OR(E582="",D582&lt;&gt;"รายรับ"),0,E582)</f>
        <v>0</v>
      </c>
      <c r="I582" s="21" t="n">
        <f aca="false">IF(OR(E582="",D582&lt;&gt;"รายจ่าย"),0,E582)</f>
        <v>0</v>
      </c>
      <c r="J582" s="21" t="str">
        <f aca="false">IF(E582="","",ตั้งค่า!$B$4+SUM($H$5:H582)-SUM($I$5:I582))</f>
        <v/>
      </c>
      <c r="K582" s="22" t="str">
        <f aca="false">IF(A582="","",MONTH(A582))</f>
        <v/>
      </c>
      <c r="L582" s="22" t="str">
        <f aca="false">IF(A582="","",YEAR(A582))</f>
        <v/>
      </c>
    </row>
    <row r="583" customFormat="false" ht="15" hidden="false" customHeight="false" outlineLevel="0" collapsed="false">
      <c r="A583" s="23"/>
      <c r="B583" s="24"/>
      <c r="C583" s="24"/>
      <c r="D583" s="20" t="str">
        <f aca="false">IF(C583="","",IF(COUNTIF(ตั้งค่า!$A$7:$A$18,C583)&gt;0,"รายรับ",IF(COUNTIF(ตั้งค่า!$C$7:$C$31,C583)&gt;0,"รายจ่าย","ไม่พบหมวดหมู่")))</f>
        <v/>
      </c>
      <c r="E583" s="25"/>
      <c r="F583" s="24"/>
      <c r="G583" s="24"/>
      <c r="H583" s="21" t="n">
        <f aca="false">IF(OR(E583="",D583&lt;&gt;"รายรับ"),0,E583)</f>
        <v>0</v>
      </c>
      <c r="I583" s="21" t="n">
        <f aca="false">IF(OR(E583="",D583&lt;&gt;"รายจ่าย"),0,E583)</f>
        <v>0</v>
      </c>
      <c r="J583" s="21" t="str">
        <f aca="false">IF(E583="","",ตั้งค่า!$B$4+SUM($H$5:H583)-SUM($I$5:I583))</f>
        <v/>
      </c>
      <c r="K583" s="22" t="str">
        <f aca="false">IF(A583="","",MONTH(A583))</f>
        <v/>
      </c>
      <c r="L583" s="22" t="str">
        <f aca="false">IF(A583="","",YEAR(A583))</f>
        <v/>
      </c>
    </row>
    <row r="584" customFormat="false" ht="15" hidden="false" customHeight="false" outlineLevel="0" collapsed="false">
      <c r="A584" s="23"/>
      <c r="B584" s="24"/>
      <c r="C584" s="24"/>
      <c r="D584" s="20" t="str">
        <f aca="false">IF(C584="","",IF(COUNTIF(ตั้งค่า!$A$7:$A$18,C584)&gt;0,"รายรับ",IF(COUNTIF(ตั้งค่า!$C$7:$C$31,C584)&gt;0,"รายจ่าย","ไม่พบหมวดหมู่")))</f>
        <v/>
      </c>
      <c r="E584" s="25"/>
      <c r="F584" s="24"/>
      <c r="G584" s="24"/>
      <c r="H584" s="21" t="n">
        <f aca="false">IF(OR(E584="",D584&lt;&gt;"รายรับ"),0,E584)</f>
        <v>0</v>
      </c>
      <c r="I584" s="21" t="n">
        <f aca="false">IF(OR(E584="",D584&lt;&gt;"รายจ่าย"),0,E584)</f>
        <v>0</v>
      </c>
      <c r="J584" s="21" t="str">
        <f aca="false">IF(E584="","",ตั้งค่า!$B$4+SUM($H$5:H584)-SUM($I$5:I584))</f>
        <v/>
      </c>
      <c r="K584" s="22" t="str">
        <f aca="false">IF(A584="","",MONTH(A584))</f>
        <v/>
      </c>
      <c r="L584" s="22" t="str">
        <f aca="false">IF(A584="","",YEAR(A584))</f>
        <v/>
      </c>
    </row>
    <row r="585" customFormat="false" ht="15" hidden="false" customHeight="false" outlineLevel="0" collapsed="false">
      <c r="A585" s="23"/>
      <c r="B585" s="24"/>
      <c r="C585" s="24"/>
      <c r="D585" s="20" t="str">
        <f aca="false">IF(C585="","",IF(COUNTIF(ตั้งค่า!$A$7:$A$18,C585)&gt;0,"รายรับ",IF(COUNTIF(ตั้งค่า!$C$7:$C$31,C585)&gt;0,"รายจ่าย","ไม่พบหมวดหมู่")))</f>
        <v/>
      </c>
      <c r="E585" s="25"/>
      <c r="F585" s="24"/>
      <c r="G585" s="24"/>
      <c r="H585" s="21" t="n">
        <f aca="false">IF(OR(E585="",D585&lt;&gt;"รายรับ"),0,E585)</f>
        <v>0</v>
      </c>
      <c r="I585" s="21" t="n">
        <f aca="false">IF(OR(E585="",D585&lt;&gt;"รายจ่าย"),0,E585)</f>
        <v>0</v>
      </c>
      <c r="J585" s="21" t="str">
        <f aca="false">IF(E585="","",ตั้งค่า!$B$4+SUM($H$5:H585)-SUM($I$5:I585))</f>
        <v/>
      </c>
      <c r="K585" s="22" t="str">
        <f aca="false">IF(A585="","",MONTH(A585))</f>
        <v/>
      </c>
      <c r="L585" s="22" t="str">
        <f aca="false">IF(A585="","",YEAR(A585))</f>
        <v/>
      </c>
    </row>
    <row r="586" customFormat="false" ht="15" hidden="false" customHeight="false" outlineLevel="0" collapsed="false">
      <c r="A586" s="23"/>
      <c r="B586" s="24"/>
      <c r="C586" s="24"/>
      <c r="D586" s="20" t="str">
        <f aca="false">IF(C586="","",IF(COUNTIF(ตั้งค่า!$A$7:$A$18,C586)&gt;0,"รายรับ",IF(COUNTIF(ตั้งค่า!$C$7:$C$31,C586)&gt;0,"รายจ่าย","ไม่พบหมวดหมู่")))</f>
        <v/>
      </c>
      <c r="E586" s="25"/>
      <c r="F586" s="24"/>
      <c r="G586" s="24"/>
      <c r="H586" s="21" t="n">
        <f aca="false">IF(OR(E586="",D586&lt;&gt;"รายรับ"),0,E586)</f>
        <v>0</v>
      </c>
      <c r="I586" s="21" t="n">
        <f aca="false">IF(OR(E586="",D586&lt;&gt;"รายจ่าย"),0,E586)</f>
        <v>0</v>
      </c>
      <c r="J586" s="21" t="str">
        <f aca="false">IF(E586="","",ตั้งค่า!$B$4+SUM($H$5:H586)-SUM($I$5:I586))</f>
        <v/>
      </c>
      <c r="K586" s="22" t="str">
        <f aca="false">IF(A586="","",MONTH(A586))</f>
        <v/>
      </c>
      <c r="L586" s="22" t="str">
        <f aca="false">IF(A586="","",YEAR(A586))</f>
        <v/>
      </c>
    </row>
    <row r="587" customFormat="false" ht="15" hidden="false" customHeight="false" outlineLevel="0" collapsed="false">
      <c r="A587" s="23"/>
      <c r="B587" s="24"/>
      <c r="C587" s="24"/>
      <c r="D587" s="20" t="str">
        <f aca="false">IF(C587="","",IF(COUNTIF(ตั้งค่า!$A$7:$A$18,C587)&gt;0,"รายรับ",IF(COUNTIF(ตั้งค่า!$C$7:$C$31,C587)&gt;0,"รายจ่าย","ไม่พบหมวดหมู่")))</f>
        <v/>
      </c>
      <c r="E587" s="25"/>
      <c r="F587" s="24"/>
      <c r="G587" s="24"/>
      <c r="H587" s="21" t="n">
        <f aca="false">IF(OR(E587="",D587&lt;&gt;"รายรับ"),0,E587)</f>
        <v>0</v>
      </c>
      <c r="I587" s="21" t="n">
        <f aca="false">IF(OR(E587="",D587&lt;&gt;"รายจ่าย"),0,E587)</f>
        <v>0</v>
      </c>
      <c r="J587" s="21" t="str">
        <f aca="false">IF(E587="","",ตั้งค่า!$B$4+SUM($H$5:H587)-SUM($I$5:I587))</f>
        <v/>
      </c>
      <c r="K587" s="22" t="str">
        <f aca="false">IF(A587="","",MONTH(A587))</f>
        <v/>
      </c>
      <c r="L587" s="22" t="str">
        <f aca="false">IF(A587="","",YEAR(A587))</f>
        <v/>
      </c>
    </row>
    <row r="588" customFormat="false" ht="15" hidden="false" customHeight="false" outlineLevel="0" collapsed="false">
      <c r="A588" s="23"/>
      <c r="B588" s="24"/>
      <c r="C588" s="24"/>
      <c r="D588" s="20" t="str">
        <f aca="false">IF(C588="","",IF(COUNTIF(ตั้งค่า!$A$7:$A$18,C588)&gt;0,"รายรับ",IF(COUNTIF(ตั้งค่า!$C$7:$C$31,C588)&gt;0,"รายจ่าย","ไม่พบหมวดหมู่")))</f>
        <v/>
      </c>
      <c r="E588" s="25"/>
      <c r="F588" s="24"/>
      <c r="G588" s="24"/>
      <c r="H588" s="21" t="n">
        <f aca="false">IF(OR(E588="",D588&lt;&gt;"รายรับ"),0,E588)</f>
        <v>0</v>
      </c>
      <c r="I588" s="21" t="n">
        <f aca="false">IF(OR(E588="",D588&lt;&gt;"รายจ่าย"),0,E588)</f>
        <v>0</v>
      </c>
      <c r="J588" s="21" t="str">
        <f aca="false">IF(E588="","",ตั้งค่า!$B$4+SUM($H$5:H588)-SUM($I$5:I588))</f>
        <v/>
      </c>
      <c r="K588" s="22" t="str">
        <f aca="false">IF(A588="","",MONTH(A588))</f>
        <v/>
      </c>
      <c r="L588" s="22" t="str">
        <f aca="false">IF(A588="","",YEAR(A588))</f>
        <v/>
      </c>
    </row>
    <row r="589" customFormat="false" ht="15" hidden="false" customHeight="false" outlineLevel="0" collapsed="false">
      <c r="A589" s="23"/>
      <c r="B589" s="24"/>
      <c r="C589" s="24"/>
      <c r="D589" s="20" t="str">
        <f aca="false">IF(C589="","",IF(COUNTIF(ตั้งค่า!$A$7:$A$18,C589)&gt;0,"รายรับ",IF(COUNTIF(ตั้งค่า!$C$7:$C$31,C589)&gt;0,"รายจ่าย","ไม่พบหมวดหมู่")))</f>
        <v/>
      </c>
      <c r="E589" s="25"/>
      <c r="F589" s="24"/>
      <c r="G589" s="24"/>
      <c r="H589" s="21" t="n">
        <f aca="false">IF(OR(E589="",D589&lt;&gt;"รายรับ"),0,E589)</f>
        <v>0</v>
      </c>
      <c r="I589" s="21" t="n">
        <f aca="false">IF(OR(E589="",D589&lt;&gt;"รายจ่าย"),0,E589)</f>
        <v>0</v>
      </c>
      <c r="J589" s="21" t="str">
        <f aca="false">IF(E589="","",ตั้งค่า!$B$4+SUM($H$5:H589)-SUM($I$5:I589))</f>
        <v/>
      </c>
      <c r="K589" s="22" t="str">
        <f aca="false">IF(A589="","",MONTH(A589))</f>
        <v/>
      </c>
      <c r="L589" s="22" t="str">
        <f aca="false">IF(A589="","",YEAR(A589))</f>
        <v/>
      </c>
    </row>
    <row r="590" customFormat="false" ht="15" hidden="false" customHeight="false" outlineLevel="0" collapsed="false">
      <c r="A590" s="23"/>
      <c r="B590" s="24"/>
      <c r="C590" s="24"/>
      <c r="D590" s="20" t="str">
        <f aca="false">IF(C590="","",IF(COUNTIF(ตั้งค่า!$A$7:$A$18,C590)&gt;0,"รายรับ",IF(COUNTIF(ตั้งค่า!$C$7:$C$31,C590)&gt;0,"รายจ่าย","ไม่พบหมวดหมู่")))</f>
        <v/>
      </c>
      <c r="E590" s="25"/>
      <c r="F590" s="24"/>
      <c r="G590" s="24"/>
      <c r="H590" s="21" t="n">
        <f aca="false">IF(OR(E590="",D590&lt;&gt;"รายรับ"),0,E590)</f>
        <v>0</v>
      </c>
      <c r="I590" s="21" t="n">
        <f aca="false">IF(OR(E590="",D590&lt;&gt;"รายจ่าย"),0,E590)</f>
        <v>0</v>
      </c>
      <c r="J590" s="21" t="str">
        <f aca="false">IF(E590="","",ตั้งค่า!$B$4+SUM($H$5:H590)-SUM($I$5:I590))</f>
        <v/>
      </c>
      <c r="K590" s="22" t="str">
        <f aca="false">IF(A590="","",MONTH(A590))</f>
        <v/>
      </c>
      <c r="L590" s="22" t="str">
        <f aca="false">IF(A590="","",YEAR(A590))</f>
        <v/>
      </c>
    </row>
    <row r="591" customFormat="false" ht="15" hidden="false" customHeight="false" outlineLevel="0" collapsed="false">
      <c r="A591" s="23"/>
      <c r="B591" s="24"/>
      <c r="C591" s="24"/>
      <c r="D591" s="20" t="str">
        <f aca="false">IF(C591="","",IF(COUNTIF(ตั้งค่า!$A$7:$A$18,C591)&gt;0,"รายรับ",IF(COUNTIF(ตั้งค่า!$C$7:$C$31,C591)&gt;0,"รายจ่าย","ไม่พบหมวดหมู่")))</f>
        <v/>
      </c>
      <c r="E591" s="25"/>
      <c r="F591" s="24"/>
      <c r="G591" s="24"/>
      <c r="H591" s="21" t="n">
        <f aca="false">IF(OR(E591="",D591&lt;&gt;"รายรับ"),0,E591)</f>
        <v>0</v>
      </c>
      <c r="I591" s="21" t="n">
        <f aca="false">IF(OR(E591="",D591&lt;&gt;"รายจ่าย"),0,E591)</f>
        <v>0</v>
      </c>
      <c r="J591" s="21" t="str">
        <f aca="false">IF(E591="","",ตั้งค่า!$B$4+SUM($H$5:H591)-SUM($I$5:I591))</f>
        <v/>
      </c>
      <c r="K591" s="22" t="str">
        <f aca="false">IF(A591="","",MONTH(A591))</f>
        <v/>
      </c>
      <c r="L591" s="22" t="str">
        <f aca="false">IF(A591="","",YEAR(A591))</f>
        <v/>
      </c>
    </row>
    <row r="592" customFormat="false" ht="15" hidden="false" customHeight="false" outlineLevel="0" collapsed="false">
      <c r="A592" s="23"/>
      <c r="B592" s="24"/>
      <c r="C592" s="24"/>
      <c r="D592" s="20" t="str">
        <f aca="false">IF(C592="","",IF(COUNTIF(ตั้งค่า!$A$7:$A$18,C592)&gt;0,"รายรับ",IF(COUNTIF(ตั้งค่า!$C$7:$C$31,C592)&gt;0,"รายจ่าย","ไม่พบหมวดหมู่")))</f>
        <v/>
      </c>
      <c r="E592" s="25"/>
      <c r="F592" s="24"/>
      <c r="G592" s="24"/>
      <c r="H592" s="21" t="n">
        <f aca="false">IF(OR(E592="",D592&lt;&gt;"รายรับ"),0,E592)</f>
        <v>0</v>
      </c>
      <c r="I592" s="21" t="n">
        <f aca="false">IF(OR(E592="",D592&lt;&gt;"รายจ่าย"),0,E592)</f>
        <v>0</v>
      </c>
      <c r="J592" s="21" t="str">
        <f aca="false">IF(E592="","",ตั้งค่า!$B$4+SUM($H$5:H592)-SUM($I$5:I592))</f>
        <v/>
      </c>
      <c r="K592" s="22" t="str">
        <f aca="false">IF(A592="","",MONTH(A592))</f>
        <v/>
      </c>
      <c r="L592" s="22" t="str">
        <f aca="false">IF(A592="","",YEAR(A592))</f>
        <v/>
      </c>
    </row>
    <row r="593" customFormat="false" ht="15" hidden="false" customHeight="false" outlineLevel="0" collapsed="false">
      <c r="A593" s="23"/>
      <c r="B593" s="24"/>
      <c r="C593" s="24"/>
      <c r="D593" s="20" t="str">
        <f aca="false">IF(C593="","",IF(COUNTIF(ตั้งค่า!$A$7:$A$18,C593)&gt;0,"รายรับ",IF(COUNTIF(ตั้งค่า!$C$7:$C$31,C593)&gt;0,"รายจ่าย","ไม่พบหมวดหมู่")))</f>
        <v/>
      </c>
      <c r="E593" s="25"/>
      <c r="F593" s="24"/>
      <c r="G593" s="24"/>
      <c r="H593" s="21" t="n">
        <f aca="false">IF(OR(E593="",D593&lt;&gt;"รายรับ"),0,E593)</f>
        <v>0</v>
      </c>
      <c r="I593" s="21" t="n">
        <f aca="false">IF(OR(E593="",D593&lt;&gt;"รายจ่าย"),0,E593)</f>
        <v>0</v>
      </c>
      <c r="J593" s="21" t="str">
        <f aca="false">IF(E593="","",ตั้งค่า!$B$4+SUM($H$5:H593)-SUM($I$5:I593))</f>
        <v/>
      </c>
      <c r="K593" s="22" t="str">
        <f aca="false">IF(A593="","",MONTH(A593))</f>
        <v/>
      </c>
      <c r="L593" s="22" t="str">
        <f aca="false">IF(A593="","",YEAR(A593))</f>
        <v/>
      </c>
    </row>
    <row r="594" customFormat="false" ht="15" hidden="false" customHeight="false" outlineLevel="0" collapsed="false">
      <c r="A594" s="23"/>
      <c r="B594" s="24"/>
      <c r="C594" s="24"/>
      <c r="D594" s="20" t="str">
        <f aca="false">IF(C594="","",IF(COUNTIF(ตั้งค่า!$A$7:$A$18,C594)&gt;0,"รายรับ",IF(COUNTIF(ตั้งค่า!$C$7:$C$31,C594)&gt;0,"รายจ่าย","ไม่พบหมวดหมู่")))</f>
        <v/>
      </c>
      <c r="E594" s="25"/>
      <c r="F594" s="24"/>
      <c r="G594" s="24"/>
      <c r="H594" s="21" t="n">
        <f aca="false">IF(OR(E594="",D594&lt;&gt;"รายรับ"),0,E594)</f>
        <v>0</v>
      </c>
      <c r="I594" s="21" t="n">
        <f aca="false">IF(OR(E594="",D594&lt;&gt;"รายจ่าย"),0,E594)</f>
        <v>0</v>
      </c>
      <c r="J594" s="21" t="str">
        <f aca="false">IF(E594="","",ตั้งค่า!$B$4+SUM($H$5:H594)-SUM($I$5:I594))</f>
        <v/>
      </c>
      <c r="K594" s="22" t="str">
        <f aca="false">IF(A594="","",MONTH(A594))</f>
        <v/>
      </c>
      <c r="L594" s="22" t="str">
        <f aca="false">IF(A594="","",YEAR(A594))</f>
        <v/>
      </c>
    </row>
    <row r="595" customFormat="false" ht="15" hidden="false" customHeight="false" outlineLevel="0" collapsed="false">
      <c r="A595" s="23"/>
      <c r="B595" s="24"/>
      <c r="C595" s="24"/>
      <c r="D595" s="20" t="str">
        <f aca="false">IF(C595="","",IF(COUNTIF(ตั้งค่า!$A$7:$A$18,C595)&gt;0,"รายรับ",IF(COUNTIF(ตั้งค่า!$C$7:$C$31,C595)&gt;0,"รายจ่าย","ไม่พบหมวดหมู่")))</f>
        <v/>
      </c>
      <c r="E595" s="25"/>
      <c r="F595" s="24"/>
      <c r="G595" s="24"/>
      <c r="H595" s="21" t="n">
        <f aca="false">IF(OR(E595="",D595&lt;&gt;"รายรับ"),0,E595)</f>
        <v>0</v>
      </c>
      <c r="I595" s="21" t="n">
        <f aca="false">IF(OR(E595="",D595&lt;&gt;"รายจ่าย"),0,E595)</f>
        <v>0</v>
      </c>
      <c r="J595" s="21" t="str">
        <f aca="false">IF(E595="","",ตั้งค่า!$B$4+SUM($H$5:H595)-SUM($I$5:I595))</f>
        <v/>
      </c>
      <c r="K595" s="22" t="str">
        <f aca="false">IF(A595="","",MONTH(A595))</f>
        <v/>
      </c>
      <c r="L595" s="22" t="str">
        <f aca="false">IF(A595="","",YEAR(A595))</f>
        <v/>
      </c>
    </row>
    <row r="596" customFormat="false" ht="15" hidden="false" customHeight="false" outlineLevel="0" collapsed="false">
      <c r="A596" s="23"/>
      <c r="B596" s="24"/>
      <c r="C596" s="24"/>
      <c r="D596" s="20" t="str">
        <f aca="false">IF(C596="","",IF(COUNTIF(ตั้งค่า!$A$7:$A$18,C596)&gt;0,"รายรับ",IF(COUNTIF(ตั้งค่า!$C$7:$C$31,C596)&gt;0,"รายจ่าย","ไม่พบหมวดหมู่")))</f>
        <v/>
      </c>
      <c r="E596" s="25"/>
      <c r="F596" s="24"/>
      <c r="G596" s="24"/>
      <c r="H596" s="21" t="n">
        <f aca="false">IF(OR(E596="",D596&lt;&gt;"รายรับ"),0,E596)</f>
        <v>0</v>
      </c>
      <c r="I596" s="21" t="n">
        <f aca="false">IF(OR(E596="",D596&lt;&gt;"รายจ่าย"),0,E596)</f>
        <v>0</v>
      </c>
      <c r="J596" s="21" t="str">
        <f aca="false">IF(E596="","",ตั้งค่า!$B$4+SUM($H$5:H596)-SUM($I$5:I596))</f>
        <v/>
      </c>
      <c r="K596" s="22" t="str">
        <f aca="false">IF(A596="","",MONTH(A596))</f>
        <v/>
      </c>
      <c r="L596" s="22" t="str">
        <f aca="false">IF(A596="","",YEAR(A596))</f>
        <v/>
      </c>
    </row>
    <row r="597" customFormat="false" ht="15" hidden="false" customHeight="false" outlineLevel="0" collapsed="false">
      <c r="A597" s="23"/>
      <c r="B597" s="24"/>
      <c r="C597" s="24"/>
      <c r="D597" s="20" t="str">
        <f aca="false">IF(C597="","",IF(COUNTIF(ตั้งค่า!$A$7:$A$18,C597)&gt;0,"รายรับ",IF(COUNTIF(ตั้งค่า!$C$7:$C$31,C597)&gt;0,"รายจ่าย","ไม่พบหมวดหมู่")))</f>
        <v/>
      </c>
      <c r="E597" s="25"/>
      <c r="F597" s="24"/>
      <c r="G597" s="24"/>
      <c r="H597" s="21" t="n">
        <f aca="false">IF(OR(E597="",D597&lt;&gt;"รายรับ"),0,E597)</f>
        <v>0</v>
      </c>
      <c r="I597" s="21" t="n">
        <f aca="false">IF(OR(E597="",D597&lt;&gt;"รายจ่าย"),0,E597)</f>
        <v>0</v>
      </c>
      <c r="J597" s="21" t="str">
        <f aca="false">IF(E597="","",ตั้งค่า!$B$4+SUM($H$5:H597)-SUM($I$5:I597))</f>
        <v/>
      </c>
      <c r="K597" s="22" t="str">
        <f aca="false">IF(A597="","",MONTH(A597))</f>
        <v/>
      </c>
      <c r="L597" s="22" t="str">
        <f aca="false">IF(A597="","",YEAR(A597))</f>
        <v/>
      </c>
    </row>
    <row r="598" customFormat="false" ht="15" hidden="false" customHeight="false" outlineLevel="0" collapsed="false">
      <c r="A598" s="23"/>
      <c r="B598" s="24"/>
      <c r="C598" s="24"/>
      <c r="D598" s="20" t="str">
        <f aca="false">IF(C598="","",IF(COUNTIF(ตั้งค่า!$A$7:$A$18,C598)&gt;0,"รายรับ",IF(COUNTIF(ตั้งค่า!$C$7:$C$31,C598)&gt;0,"รายจ่าย","ไม่พบหมวดหมู่")))</f>
        <v/>
      </c>
      <c r="E598" s="25"/>
      <c r="F598" s="24"/>
      <c r="G598" s="24"/>
      <c r="H598" s="21" t="n">
        <f aca="false">IF(OR(E598="",D598&lt;&gt;"รายรับ"),0,E598)</f>
        <v>0</v>
      </c>
      <c r="I598" s="21" t="n">
        <f aca="false">IF(OR(E598="",D598&lt;&gt;"รายจ่าย"),0,E598)</f>
        <v>0</v>
      </c>
      <c r="J598" s="21" t="str">
        <f aca="false">IF(E598="","",ตั้งค่า!$B$4+SUM($H$5:H598)-SUM($I$5:I598))</f>
        <v/>
      </c>
      <c r="K598" s="22" t="str">
        <f aca="false">IF(A598="","",MONTH(A598))</f>
        <v/>
      </c>
      <c r="L598" s="22" t="str">
        <f aca="false">IF(A598="","",YEAR(A598))</f>
        <v/>
      </c>
    </row>
    <row r="599" customFormat="false" ht="15" hidden="false" customHeight="false" outlineLevel="0" collapsed="false">
      <c r="A599" s="23"/>
      <c r="B599" s="24"/>
      <c r="C599" s="24"/>
      <c r="D599" s="20" t="str">
        <f aca="false">IF(C599="","",IF(COUNTIF(ตั้งค่า!$A$7:$A$18,C599)&gt;0,"รายรับ",IF(COUNTIF(ตั้งค่า!$C$7:$C$31,C599)&gt;0,"รายจ่าย","ไม่พบหมวดหมู่")))</f>
        <v/>
      </c>
      <c r="E599" s="25"/>
      <c r="F599" s="24"/>
      <c r="G599" s="24"/>
      <c r="H599" s="21" t="n">
        <f aca="false">IF(OR(E599="",D599&lt;&gt;"รายรับ"),0,E599)</f>
        <v>0</v>
      </c>
      <c r="I599" s="21" t="n">
        <f aca="false">IF(OR(E599="",D599&lt;&gt;"รายจ่าย"),0,E599)</f>
        <v>0</v>
      </c>
      <c r="J599" s="21" t="str">
        <f aca="false">IF(E599="","",ตั้งค่า!$B$4+SUM($H$5:H599)-SUM($I$5:I599))</f>
        <v/>
      </c>
      <c r="K599" s="22" t="str">
        <f aca="false">IF(A599="","",MONTH(A599))</f>
        <v/>
      </c>
      <c r="L599" s="22" t="str">
        <f aca="false">IF(A599="","",YEAR(A599))</f>
        <v/>
      </c>
    </row>
    <row r="600" customFormat="false" ht="15" hidden="false" customHeight="false" outlineLevel="0" collapsed="false">
      <c r="A600" s="23"/>
      <c r="B600" s="24"/>
      <c r="C600" s="24"/>
      <c r="D600" s="20" t="str">
        <f aca="false">IF(C600="","",IF(COUNTIF(ตั้งค่า!$A$7:$A$18,C600)&gt;0,"รายรับ",IF(COUNTIF(ตั้งค่า!$C$7:$C$31,C600)&gt;0,"รายจ่าย","ไม่พบหมวดหมู่")))</f>
        <v/>
      </c>
      <c r="E600" s="25"/>
      <c r="F600" s="24"/>
      <c r="G600" s="24"/>
      <c r="H600" s="21" t="n">
        <f aca="false">IF(OR(E600="",D600&lt;&gt;"รายรับ"),0,E600)</f>
        <v>0</v>
      </c>
      <c r="I600" s="21" t="n">
        <f aca="false">IF(OR(E600="",D600&lt;&gt;"รายจ่าย"),0,E600)</f>
        <v>0</v>
      </c>
      <c r="J600" s="21" t="str">
        <f aca="false">IF(E600="","",ตั้งค่า!$B$4+SUM($H$5:H600)-SUM($I$5:I600))</f>
        <v/>
      </c>
      <c r="K600" s="22" t="str">
        <f aca="false">IF(A600="","",MONTH(A600))</f>
        <v/>
      </c>
      <c r="L600" s="22" t="str">
        <f aca="false">IF(A600="","",YEAR(A600))</f>
        <v/>
      </c>
    </row>
    <row r="601" customFormat="false" ht="15" hidden="false" customHeight="false" outlineLevel="0" collapsed="false">
      <c r="A601" s="23"/>
      <c r="B601" s="24"/>
      <c r="C601" s="24"/>
      <c r="D601" s="20" t="str">
        <f aca="false">IF(C601="","",IF(COUNTIF(ตั้งค่า!$A$7:$A$18,C601)&gt;0,"รายรับ",IF(COUNTIF(ตั้งค่า!$C$7:$C$31,C601)&gt;0,"รายจ่าย","ไม่พบหมวดหมู่")))</f>
        <v/>
      </c>
      <c r="E601" s="25"/>
      <c r="F601" s="24"/>
      <c r="G601" s="24"/>
      <c r="H601" s="21" t="n">
        <f aca="false">IF(OR(E601="",D601&lt;&gt;"รายรับ"),0,E601)</f>
        <v>0</v>
      </c>
      <c r="I601" s="21" t="n">
        <f aca="false">IF(OR(E601="",D601&lt;&gt;"รายจ่าย"),0,E601)</f>
        <v>0</v>
      </c>
      <c r="J601" s="21" t="str">
        <f aca="false">IF(E601="","",ตั้งค่า!$B$4+SUM($H$5:H601)-SUM($I$5:I601))</f>
        <v/>
      </c>
      <c r="K601" s="22" t="str">
        <f aca="false">IF(A601="","",MONTH(A601))</f>
        <v/>
      </c>
      <c r="L601" s="22" t="str">
        <f aca="false">IF(A601="","",YEAR(A601))</f>
        <v/>
      </c>
    </row>
    <row r="602" customFormat="false" ht="15" hidden="false" customHeight="false" outlineLevel="0" collapsed="false">
      <c r="A602" s="23"/>
      <c r="B602" s="24"/>
      <c r="C602" s="24"/>
      <c r="D602" s="20" t="str">
        <f aca="false">IF(C602="","",IF(COUNTIF(ตั้งค่า!$A$7:$A$18,C602)&gt;0,"รายรับ",IF(COUNTIF(ตั้งค่า!$C$7:$C$31,C602)&gt;0,"รายจ่าย","ไม่พบหมวดหมู่")))</f>
        <v/>
      </c>
      <c r="E602" s="25"/>
      <c r="F602" s="24"/>
      <c r="G602" s="24"/>
      <c r="H602" s="21" t="n">
        <f aca="false">IF(OR(E602="",D602&lt;&gt;"รายรับ"),0,E602)</f>
        <v>0</v>
      </c>
      <c r="I602" s="21" t="n">
        <f aca="false">IF(OR(E602="",D602&lt;&gt;"รายจ่าย"),0,E602)</f>
        <v>0</v>
      </c>
      <c r="J602" s="21" t="str">
        <f aca="false">IF(E602="","",ตั้งค่า!$B$4+SUM($H$5:H602)-SUM($I$5:I602))</f>
        <v/>
      </c>
      <c r="K602" s="22" t="str">
        <f aca="false">IF(A602="","",MONTH(A602))</f>
        <v/>
      </c>
      <c r="L602" s="22" t="str">
        <f aca="false">IF(A602="","",YEAR(A602))</f>
        <v/>
      </c>
    </row>
    <row r="603" customFormat="false" ht="15" hidden="false" customHeight="false" outlineLevel="0" collapsed="false">
      <c r="A603" s="23"/>
      <c r="B603" s="24"/>
      <c r="C603" s="24"/>
      <c r="D603" s="20" t="str">
        <f aca="false">IF(C603="","",IF(COUNTIF(ตั้งค่า!$A$7:$A$18,C603)&gt;0,"รายรับ",IF(COUNTIF(ตั้งค่า!$C$7:$C$31,C603)&gt;0,"รายจ่าย","ไม่พบหมวดหมู่")))</f>
        <v/>
      </c>
      <c r="E603" s="25"/>
      <c r="F603" s="24"/>
      <c r="G603" s="24"/>
      <c r="H603" s="21" t="n">
        <f aca="false">IF(OR(E603="",D603&lt;&gt;"รายรับ"),0,E603)</f>
        <v>0</v>
      </c>
      <c r="I603" s="21" t="n">
        <f aca="false">IF(OR(E603="",D603&lt;&gt;"รายจ่าย"),0,E603)</f>
        <v>0</v>
      </c>
      <c r="J603" s="21" t="str">
        <f aca="false">IF(E603="","",ตั้งค่า!$B$4+SUM($H$5:H603)-SUM($I$5:I603))</f>
        <v/>
      </c>
      <c r="K603" s="22" t="str">
        <f aca="false">IF(A603="","",MONTH(A603))</f>
        <v/>
      </c>
      <c r="L603" s="22" t="str">
        <f aca="false">IF(A603="","",YEAR(A603))</f>
        <v/>
      </c>
    </row>
    <row r="604" customFormat="false" ht="15" hidden="false" customHeight="false" outlineLevel="0" collapsed="false">
      <c r="A604" s="23"/>
      <c r="B604" s="24"/>
      <c r="C604" s="24"/>
      <c r="D604" s="20" t="str">
        <f aca="false">IF(C604="","",IF(COUNTIF(ตั้งค่า!$A$7:$A$18,C604)&gt;0,"รายรับ",IF(COUNTIF(ตั้งค่า!$C$7:$C$31,C604)&gt;0,"รายจ่าย","ไม่พบหมวดหมู่")))</f>
        <v/>
      </c>
      <c r="E604" s="25"/>
      <c r="F604" s="24"/>
      <c r="G604" s="24"/>
      <c r="H604" s="21" t="n">
        <f aca="false">IF(OR(E604="",D604&lt;&gt;"รายรับ"),0,E604)</f>
        <v>0</v>
      </c>
      <c r="I604" s="21" t="n">
        <f aca="false">IF(OR(E604="",D604&lt;&gt;"รายจ่าย"),0,E604)</f>
        <v>0</v>
      </c>
      <c r="J604" s="21" t="str">
        <f aca="false">IF(E604="","",ตั้งค่า!$B$4+SUM($H$5:H604)-SUM($I$5:I604))</f>
        <v/>
      </c>
      <c r="K604" s="22" t="str">
        <f aca="false">IF(A604="","",MONTH(A604))</f>
        <v/>
      </c>
      <c r="L604" s="22" t="str">
        <f aca="false">IF(A604="","",YEAR(A604))</f>
        <v/>
      </c>
    </row>
    <row r="605" customFormat="false" ht="15" hidden="false" customHeight="false" outlineLevel="0" collapsed="false">
      <c r="A605" s="23"/>
      <c r="B605" s="24"/>
      <c r="C605" s="24"/>
      <c r="D605" s="20" t="str">
        <f aca="false">IF(C605="","",IF(COUNTIF(ตั้งค่า!$A$7:$A$18,C605)&gt;0,"รายรับ",IF(COUNTIF(ตั้งค่า!$C$7:$C$31,C605)&gt;0,"รายจ่าย","ไม่พบหมวดหมู่")))</f>
        <v/>
      </c>
      <c r="E605" s="25"/>
      <c r="F605" s="24"/>
      <c r="G605" s="24"/>
      <c r="H605" s="21" t="n">
        <f aca="false">IF(OR(E605="",D605&lt;&gt;"รายรับ"),0,E605)</f>
        <v>0</v>
      </c>
      <c r="I605" s="21" t="n">
        <f aca="false">IF(OR(E605="",D605&lt;&gt;"รายจ่าย"),0,E605)</f>
        <v>0</v>
      </c>
      <c r="J605" s="21" t="str">
        <f aca="false">IF(E605="","",ตั้งค่า!$B$4+SUM($H$5:H605)-SUM($I$5:I605))</f>
        <v/>
      </c>
      <c r="K605" s="22" t="str">
        <f aca="false">IF(A605="","",MONTH(A605))</f>
        <v/>
      </c>
      <c r="L605" s="22" t="str">
        <f aca="false">IF(A605="","",YEAR(A605))</f>
        <v/>
      </c>
    </row>
    <row r="606" customFormat="false" ht="15" hidden="false" customHeight="false" outlineLevel="0" collapsed="false">
      <c r="A606" s="23"/>
      <c r="B606" s="24"/>
      <c r="C606" s="24"/>
      <c r="D606" s="20" t="str">
        <f aca="false">IF(C606="","",IF(COUNTIF(ตั้งค่า!$A$7:$A$18,C606)&gt;0,"รายรับ",IF(COUNTIF(ตั้งค่า!$C$7:$C$31,C606)&gt;0,"รายจ่าย","ไม่พบหมวดหมู่")))</f>
        <v/>
      </c>
      <c r="E606" s="25"/>
      <c r="F606" s="24"/>
      <c r="G606" s="24"/>
      <c r="H606" s="21" t="n">
        <f aca="false">IF(OR(E606="",D606&lt;&gt;"รายรับ"),0,E606)</f>
        <v>0</v>
      </c>
      <c r="I606" s="21" t="n">
        <f aca="false">IF(OR(E606="",D606&lt;&gt;"รายจ่าย"),0,E606)</f>
        <v>0</v>
      </c>
      <c r="J606" s="21" t="str">
        <f aca="false">IF(E606="","",ตั้งค่า!$B$4+SUM($H$5:H606)-SUM($I$5:I606))</f>
        <v/>
      </c>
      <c r="K606" s="22" t="str">
        <f aca="false">IF(A606="","",MONTH(A606))</f>
        <v/>
      </c>
      <c r="L606" s="22" t="str">
        <f aca="false">IF(A606="","",YEAR(A606))</f>
        <v/>
      </c>
    </row>
    <row r="607" customFormat="false" ht="15" hidden="false" customHeight="false" outlineLevel="0" collapsed="false">
      <c r="A607" s="23"/>
      <c r="B607" s="24"/>
      <c r="C607" s="24"/>
      <c r="D607" s="20" t="str">
        <f aca="false">IF(C607="","",IF(COUNTIF(ตั้งค่า!$A$7:$A$18,C607)&gt;0,"รายรับ",IF(COUNTIF(ตั้งค่า!$C$7:$C$31,C607)&gt;0,"รายจ่าย","ไม่พบหมวดหมู่")))</f>
        <v/>
      </c>
      <c r="E607" s="25"/>
      <c r="F607" s="24"/>
      <c r="G607" s="24"/>
      <c r="H607" s="21" t="n">
        <f aca="false">IF(OR(E607="",D607&lt;&gt;"รายรับ"),0,E607)</f>
        <v>0</v>
      </c>
      <c r="I607" s="21" t="n">
        <f aca="false">IF(OR(E607="",D607&lt;&gt;"รายจ่าย"),0,E607)</f>
        <v>0</v>
      </c>
      <c r="J607" s="21" t="str">
        <f aca="false">IF(E607="","",ตั้งค่า!$B$4+SUM($H$5:H607)-SUM($I$5:I607))</f>
        <v/>
      </c>
      <c r="K607" s="22" t="str">
        <f aca="false">IF(A607="","",MONTH(A607))</f>
        <v/>
      </c>
      <c r="L607" s="22" t="str">
        <f aca="false">IF(A607="","",YEAR(A607))</f>
        <v/>
      </c>
    </row>
    <row r="608" customFormat="false" ht="15" hidden="false" customHeight="false" outlineLevel="0" collapsed="false">
      <c r="A608" s="23"/>
      <c r="B608" s="24"/>
      <c r="C608" s="24"/>
      <c r="D608" s="20" t="str">
        <f aca="false">IF(C608="","",IF(COUNTIF(ตั้งค่า!$A$7:$A$18,C608)&gt;0,"รายรับ",IF(COUNTIF(ตั้งค่า!$C$7:$C$31,C608)&gt;0,"รายจ่าย","ไม่พบหมวดหมู่")))</f>
        <v/>
      </c>
      <c r="E608" s="25"/>
      <c r="F608" s="24"/>
      <c r="G608" s="24"/>
      <c r="H608" s="21" t="n">
        <f aca="false">IF(OR(E608="",D608&lt;&gt;"รายรับ"),0,E608)</f>
        <v>0</v>
      </c>
      <c r="I608" s="21" t="n">
        <f aca="false">IF(OR(E608="",D608&lt;&gt;"รายจ่าย"),0,E608)</f>
        <v>0</v>
      </c>
      <c r="J608" s="21" t="str">
        <f aca="false">IF(E608="","",ตั้งค่า!$B$4+SUM($H$5:H608)-SUM($I$5:I608))</f>
        <v/>
      </c>
      <c r="K608" s="22" t="str">
        <f aca="false">IF(A608="","",MONTH(A608))</f>
        <v/>
      </c>
      <c r="L608" s="22" t="str">
        <f aca="false">IF(A608="","",YEAR(A608))</f>
        <v/>
      </c>
    </row>
    <row r="609" customFormat="false" ht="15" hidden="false" customHeight="false" outlineLevel="0" collapsed="false">
      <c r="A609" s="23"/>
      <c r="B609" s="24"/>
      <c r="C609" s="24"/>
      <c r="D609" s="20" t="str">
        <f aca="false">IF(C609="","",IF(COUNTIF(ตั้งค่า!$A$7:$A$18,C609)&gt;0,"รายรับ",IF(COUNTIF(ตั้งค่า!$C$7:$C$31,C609)&gt;0,"รายจ่าย","ไม่พบหมวดหมู่")))</f>
        <v/>
      </c>
      <c r="E609" s="25"/>
      <c r="F609" s="24"/>
      <c r="G609" s="24"/>
      <c r="H609" s="21" t="n">
        <f aca="false">IF(OR(E609="",D609&lt;&gt;"รายรับ"),0,E609)</f>
        <v>0</v>
      </c>
      <c r="I609" s="21" t="n">
        <f aca="false">IF(OR(E609="",D609&lt;&gt;"รายจ่าย"),0,E609)</f>
        <v>0</v>
      </c>
      <c r="J609" s="21" t="str">
        <f aca="false">IF(E609="","",ตั้งค่า!$B$4+SUM($H$5:H609)-SUM($I$5:I609))</f>
        <v/>
      </c>
      <c r="K609" s="22" t="str">
        <f aca="false">IF(A609="","",MONTH(A609))</f>
        <v/>
      </c>
      <c r="L609" s="22" t="str">
        <f aca="false">IF(A609="","",YEAR(A609))</f>
        <v/>
      </c>
    </row>
    <row r="610" customFormat="false" ht="15" hidden="false" customHeight="false" outlineLevel="0" collapsed="false">
      <c r="A610" s="23"/>
      <c r="B610" s="24"/>
      <c r="C610" s="24"/>
      <c r="D610" s="20" t="str">
        <f aca="false">IF(C610="","",IF(COUNTIF(ตั้งค่า!$A$7:$A$18,C610)&gt;0,"รายรับ",IF(COUNTIF(ตั้งค่า!$C$7:$C$31,C610)&gt;0,"รายจ่าย","ไม่พบหมวดหมู่")))</f>
        <v/>
      </c>
      <c r="E610" s="25"/>
      <c r="F610" s="24"/>
      <c r="G610" s="24"/>
      <c r="H610" s="21" t="n">
        <f aca="false">IF(OR(E610="",D610&lt;&gt;"รายรับ"),0,E610)</f>
        <v>0</v>
      </c>
      <c r="I610" s="21" t="n">
        <f aca="false">IF(OR(E610="",D610&lt;&gt;"รายจ่าย"),0,E610)</f>
        <v>0</v>
      </c>
      <c r="J610" s="21" t="str">
        <f aca="false">IF(E610="","",ตั้งค่า!$B$4+SUM($H$5:H610)-SUM($I$5:I610))</f>
        <v/>
      </c>
      <c r="K610" s="22" t="str">
        <f aca="false">IF(A610="","",MONTH(A610))</f>
        <v/>
      </c>
      <c r="L610" s="22" t="str">
        <f aca="false">IF(A610="","",YEAR(A610))</f>
        <v/>
      </c>
    </row>
    <row r="611" customFormat="false" ht="15" hidden="false" customHeight="false" outlineLevel="0" collapsed="false">
      <c r="A611" s="23"/>
      <c r="B611" s="24"/>
      <c r="C611" s="24"/>
      <c r="D611" s="20" t="str">
        <f aca="false">IF(C611="","",IF(COUNTIF(ตั้งค่า!$A$7:$A$18,C611)&gt;0,"รายรับ",IF(COUNTIF(ตั้งค่า!$C$7:$C$31,C611)&gt;0,"รายจ่าย","ไม่พบหมวดหมู่")))</f>
        <v/>
      </c>
      <c r="E611" s="25"/>
      <c r="F611" s="24"/>
      <c r="G611" s="24"/>
      <c r="H611" s="21" t="n">
        <f aca="false">IF(OR(E611="",D611&lt;&gt;"รายรับ"),0,E611)</f>
        <v>0</v>
      </c>
      <c r="I611" s="21" t="n">
        <f aca="false">IF(OR(E611="",D611&lt;&gt;"รายจ่าย"),0,E611)</f>
        <v>0</v>
      </c>
      <c r="J611" s="21" t="str">
        <f aca="false">IF(E611="","",ตั้งค่า!$B$4+SUM($H$5:H611)-SUM($I$5:I611))</f>
        <v/>
      </c>
      <c r="K611" s="22" t="str">
        <f aca="false">IF(A611="","",MONTH(A611))</f>
        <v/>
      </c>
      <c r="L611" s="22" t="str">
        <f aca="false">IF(A611="","",YEAR(A611))</f>
        <v/>
      </c>
    </row>
    <row r="612" customFormat="false" ht="15" hidden="false" customHeight="false" outlineLevel="0" collapsed="false">
      <c r="A612" s="23"/>
      <c r="B612" s="24"/>
      <c r="C612" s="24"/>
      <c r="D612" s="20" t="str">
        <f aca="false">IF(C612="","",IF(COUNTIF(ตั้งค่า!$A$7:$A$18,C612)&gt;0,"รายรับ",IF(COUNTIF(ตั้งค่า!$C$7:$C$31,C612)&gt;0,"รายจ่าย","ไม่พบหมวดหมู่")))</f>
        <v/>
      </c>
      <c r="E612" s="25"/>
      <c r="F612" s="24"/>
      <c r="G612" s="24"/>
      <c r="H612" s="21" t="n">
        <f aca="false">IF(OR(E612="",D612&lt;&gt;"รายรับ"),0,E612)</f>
        <v>0</v>
      </c>
      <c r="I612" s="21" t="n">
        <f aca="false">IF(OR(E612="",D612&lt;&gt;"รายจ่าย"),0,E612)</f>
        <v>0</v>
      </c>
      <c r="J612" s="21" t="str">
        <f aca="false">IF(E612="","",ตั้งค่า!$B$4+SUM($H$5:H612)-SUM($I$5:I612))</f>
        <v/>
      </c>
      <c r="K612" s="22" t="str">
        <f aca="false">IF(A612="","",MONTH(A612))</f>
        <v/>
      </c>
      <c r="L612" s="22" t="str">
        <f aca="false">IF(A612="","",YEAR(A612))</f>
        <v/>
      </c>
    </row>
    <row r="613" customFormat="false" ht="15" hidden="false" customHeight="false" outlineLevel="0" collapsed="false">
      <c r="A613" s="23"/>
      <c r="B613" s="24"/>
      <c r="C613" s="24"/>
      <c r="D613" s="20" t="str">
        <f aca="false">IF(C613="","",IF(COUNTIF(ตั้งค่า!$A$7:$A$18,C613)&gt;0,"รายรับ",IF(COUNTIF(ตั้งค่า!$C$7:$C$31,C613)&gt;0,"รายจ่าย","ไม่พบหมวดหมู่")))</f>
        <v/>
      </c>
      <c r="E613" s="25"/>
      <c r="F613" s="24"/>
      <c r="G613" s="24"/>
      <c r="H613" s="21" t="n">
        <f aca="false">IF(OR(E613="",D613&lt;&gt;"รายรับ"),0,E613)</f>
        <v>0</v>
      </c>
      <c r="I613" s="21" t="n">
        <f aca="false">IF(OR(E613="",D613&lt;&gt;"รายจ่าย"),0,E613)</f>
        <v>0</v>
      </c>
      <c r="J613" s="21" t="str">
        <f aca="false">IF(E613="","",ตั้งค่า!$B$4+SUM($H$5:H613)-SUM($I$5:I613))</f>
        <v/>
      </c>
      <c r="K613" s="22" t="str">
        <f aca="false">IF(A613="","",MONTH(A613))</f>
        <v/>
      </c>
      <c r="L613" s="22" t="str">
        <f aca="false">IF(A613="","",YEAR(A613))</f>
        <v/>
      </c>
    </row>
    <row r="614" customFormat="false" ht="15" hidden="false" customHeight="false" outlineLevel="0" collapsed="false">
      <c r="A614" s="23"/>
      <c r="B614" s="24"/>
      <c r="C614" s="24"/>
      <c r="D614" s="20" t="str">
        <f aca="false">IF(C614="","",IF(COUNTIF(ตั้งค่า!$A$7:$A$18,C614)&gt;0,"รายรับ",IF(COUNTIF(ตั้งค่า!$C$7:$C$31,C614)&gt;0,"รายจ่าย","ไม่พบหมวดหมู่")))</f>
        <v/>
      </c>
      <c r="E614" s="25"/>
      <c r="F614" s="24"/>
      <c r="G614" s="24"/>
      <c r="H614" s="21" t="n">
        <f aca="false">IF(OR(E614="",D614&lt;&gt;"รายรับ"),0,E614)</f>
        <v>0</v>
      </c>
      <c r="I614" s="21" t="n">
        <f aca="false">IF(OR(E614="",D614&lt;&gt;"รายจ่าย"),0,E614)</f>
        <v>0</v>
      </c>
      <c r="J614" s="21" t="str">
        <f aca="false">IF(E614="","",ตั้งค่า!$B$4+SUM($H$5:H614)-SUM($I$5:I614))</f>
        <v/>
      </c>
      <c r="K614" s="22" t="str">
        <f aca="false">IF(A614="","",MONTH(A614))</f>
        <v/>
      </c>
      <c r="L614" s="22" t="str">
        <f aca="false">IF(A614="","",YEAR(A614))</f>
        <v/>
      </c>
    </row>
    <row r="615" customFormat="false" ht="15" hidden="false" customHeight="false" outlineLevel="0" collapsed="false">
      <c r="A615" s="23"/>
      <c r="B615" s="24"/>
      <c r="C615" s="24"/>
      <c r="D615" s="20" t="str">
        <f aca="false">IF(C615="","",IF(COUNTIF(ตั้งค่า!$A$7:$A$18,C615)&gt;0,"รายรับ",IF(COUNTIF(ตั้งค่า!$C$7:$C$31,C615)&gt;0,"รายจ่าย","ไม่พบหมวดหมู่")))</f>
        <v/>
      </c>
      <c r="E615" s="25"/>
      <c r="F615" s="24"/>
      <c r="G615" s="24"/>
      <c r="H615" s="21" t="n">
        <f aca="false">IF(OR(E615="",D615&lt;&gt;"รายรับ"),0,E615)</f>
        <v>0</v>
      </c>
      <c r="I615" s="21" t="n">
        <f aca="false">IF(OR(E615="",D615&lt;&gt;"รายจ่าย"),0,E615)</f>
        <v>0</v>
      </c>
      <c r="J615" s="21" t="str">
        <f aca="false">IF(E615="","",ตั้งค่า!$B$4+SUM($H$5:H615)-SUM($I$5:I615))</f>
        <v/>
      </c>
      <c r="K615" s="22" t="str">
        <f aca="false">IF(A615="","",MONTH(A615))</f>
        <v/>
      </c>
      <c r="L615" s="22" t="str">
        <f aca="false">IF(A615="","",YEAR(A615))</f>
        <v/>
      </c>
    </row>
    <row r="616" customFormat="false" ht="15" hidden="false" customHeight="false" outlineLevel="0" collapsed="false">
      <c r="A616" s="23"/>
      <c r="B616" s="24"/>
      <c r="C616" s="24"/>
      <c r="D616" s="20" t="str">
        <f aca="false">IF(C616="","",IF(COUNTIF(ตั้งค่า!$A$7:$A$18,C616)&gt;0,"รายรับ",IF(COUNTIF(ตั้งค่า!$C$7:$C$31,C616)&gt;0,"รายจ่าย","ไม่พบหมวดหมู่")))</f>
        <v/>
      </c>
      <c r="E616" s="25"/>
      <c r="F616" s="24"/>
      <c r="G616" s="24"/>
      <c r="H616" s="21" t="n">
        <f aca="false">IF(OR(E616="",D616&lt;&gt;"รายรับ"),0,E616)</f>
        <v>0</v>
      </c>
      <c r="I616" s="21" t="n">
        <f aca="false">IF(OR(E616="",D616&lt;&gt;"รายจ่าย"),0,E616)</f>
        <v>0</v>
      </c>
      <c r="J616" s="21" t="str">
        <f aca="false">IF(E616="","",ตั้งค่า!$B$4+SUM($H$5:H616)-SUM($I$5:I616))</f>
        <v/>
      </c>
      <c r="K616" s="22" t="str">
        <f aca="false">IF(A616="","",MONTH(A616))</f>
        <v/>
      </c>
      <c r="L616" s="22" t="str">
        <f aca="false">IF(A616="","",YEAR(A616))</f>
        <v/>
      </c>
    </row>
    <row r="617" customFormat="false" ht="15" hidden="false" customHeight="false" outlineLevel="0" collapsed="false">
      <c r="A617" s="23"/>
      <c r="B617" s="24"/>
      <c r="C617" s="24"/>
      <c r="D617" s="20" t="str">
        <f aca="false">IF(C617="","",IF(COUNTIF(ตั้งค่า!$A$7:$A$18,C617)&gt;0,"รายรับ",IF(COUNTIF(ตั้งค่า!$C$7:$C$31,C617)&gt;0,"รายจ่าย","ไม่พบหมวดหมู่")))</f>
        <v/>
      </c>
      <c r="E617" s="25"/>
      <c r="F617" s="24"/>
      <c r="G617" s="24"/>
      <c r="H617" s="21" t="n">
        <f aca="false">IF(OR(E617="",D617&lt;&gt;"รายรับ"),0,E617)</f>
        <v>0</v>
      </c>
      <c r="I617" s="21" t="n">
        <f aca="false">IF(OR(E617="",D617&lt;&gt;"รายจ่าย"),0,E617)</f>
        <v>0</v>
      </c>
      <c r="J617" s="21" t="str">
        <f aca="false">IF(E617="","",ตั้งค่า!$B$4+SUM($H$5:H617)-SUM($I$5:I617))</f>
        <v/>
      </c>
      <c r="K617" s="22" t="str">
        <f aca="false">IF(A617="","",MONTH(A617))</f>
        <v/>
      </c>
      <c r="L617" s="22" t="str">
        <f aca="false">IF(A617="","",YEAR(A617))</f>
        <v/>
      </c>
    </row>
    <row r="618" customFormat="false" ht="15" hidden="false" customHeight="false" outlineLevel="0" collapsed="false">
      <c r="A618" s="23"/>
      <c r="B618" s="24"/>
      <c r="C618" s="24"/>
      <c r="D618" s="20" t="str">
        <f aca="false">IF(C618="","",IF(COUNTIF(ตั้งค่า!$A$7:$A$18,C618)&gt;0,"รายรับ",IF(COUNTIF(ตั้งค่า!$C$7:$C$31,C618)&gt;0,"รายจ่าย","ไม่พบหมวดหมู่")))</f>
        <v/>
      </c>
      <c r="E618" s="25"/>
      <c r="F618" s="24"/>
      <c r="G618" s="24"/>
      <c r="H618" s="21" t="n">
        <f aca="false">IF(OR(E618="",D618&lt;&gt;"รายรับ"),0,E618)</f>
        <v>0</v>
      </c>
      <c r="I618" s="21" t="n">
        <f aca="false">IF(OR(E618="",D618&lt;&gt;"รายจ่าย"),0,E618)</f>
        <v>0</v>
      </c>
      <c r="J618" s="21" t="str">
        <f aca="false">IF(E618="","",ตั้งค่า!$B$4+SUM($H$5:H618)-SUM($I$5:I618))</f>
        <v/>
      </c>
      <c r="K618" s="22" t="str">
        <f aca="false">IF(A618="","",MONTH(A618))</f>
        <v/>
      </c>
      <c r="L618" s="22" t="str">
        <f aca="false">IF(A618="","",YEAR(A618))</f>
        <v/>
      </c>
    </row>
    <row r="619" customFormat="false" ht="15" hidden="false" customHeight="false" outlineLevel="0" collapsed="false">
      <c r="A619" s="23"/>
      <c r="B619" s="24"/>
      <c r="C619" s="24"/>
      <c r="D619" s="20" t="str">
        <f aca="false">IF(C619="","",IF(COUNTIF(ตั้งค่า!$A$7:$A$18,C619)&gt;0,"รายรับ",IF(COUNTIF(ตั้งค่า!$C$7:$C$31,C619)&gt;0,"รายจ่าย","ไม่พบหมวดหมู่")))</f>
        <v/>
      </c>
      <c r="E619" s="25"/>
      <c r="F619" s="24"/>
      <c r="G619" s="24"/>
      <c r="H619" s="21" t="n">
        <f aca="false">IF(OR(E619="",D619&lt;&gt;"รายรับ"),0,E619)</f>
        <v>0</v>
      </c>
      <c r="I619" s="21" t="n">
        <f aca="false">IF(OR(E619="",D619&lt;&gt;"รายจ่าย"),0,E619)</f>
        <v>0</v>
      </c>
      <c r="J619" s="21" t="str">
        <f aca="false">IF(E619="","",ตั้งค่า!$B$4+SUM($H$5:H619)-SUM($I$5:I619))</f>
        <v/>
      </c>
      <c r="K619" s="22" t="str">
        <f aca="false">IF(A619="","",MONTH(A619))</f>
        <v/>
      </c>
      <c r="L619" s="22" t="str">
        <f aca="false">IF(A619="","",YEAR(A619))</f>
        <v/>
      </c>
    </row>
    <row r="620" customFormat="false" ht="15" hidden="false" customHeight="false" outlineLevel="0" collapsed="false">
      <c r="A620" s="23"/>
      <c r="B620" s="24"/>
      <c r="C620" s="24"/>
      <c r="D620" s="20" t="str">
        <f aca="false">IF(C620="","",IF(COUNTIF(ตั้งค่า!$A$7:$A$18,C620)&gt;0,"รายรับ",IF(COUNTIF(ตั้งค่า!$C$7:$C$31,C620)&gt;0,"รายจ่าย","ไม่พบหมวดหมู่")))</f>
        <v/>
      </c>
      <c r="E620" s="25"/>
      <c r="F620" s="24"/>
      <c r="G620" s="24"/>
      <c r="H620" s="21" t="n">
        <f aca="false">IF(OR(E620="",D620&lt;&gt;"รายรับ"),0,E620)</f>
        <v>0</v>
      </c>
      <c r="I620" s="21" t="n">
        <f aca="false">IF(OR(E620="",D620&lt;&gt;"รายจ่าย"),0,E620)</f>
        <v>0</v>
      </c>
      <c r="J620" s="21" t="str">
        <f aca="false">IF(E620="","",ตั้งค่า!$B$4+SUM($H$5:H620)-SUM($I$5:I620))</f>
        <v/>
      </c>
      <c r="K620" s="22" t="str">
        <f aca="false">IF(A620="","",MONTH(A620))</f>
        <v/>
      </c>
      <c r="L620" s="22" t="str">
        <f aca="false">IF(A620="","",YEAR(A620))</f>
        <v/>
      </c>
    </row>
    <row r="621" customFormat="false" ht="15" hidden="false" customHeight="false" outlineLevel="0" collapsed="false">
      <c r="A621" s="23"/>
      <c r="B621" s="24"/>
      <c r="C621" s="24"/>
      <c r="D621" s="20" t="str">
        <f aca="false">IF(C621="","",IF(COUNTIF(ตั้งค่า!$A$7:$A$18,C621)&gt;0,"รายรับ",IF(COUNTIF(ตั้งค่า!$C$7:$C$31,C621)&gt;0,"รายจ่าย","ไม่พบหมวดหมู่")))</f>
        <v/>
      </c>
      <c r="E621" s="25"/>
      <c r="F621" s="24"/>
      <c r="G621" s="24"/>
      <c r="H621" s="21" t="n">
        <f aca="false">IF(OR(E621="",D621&lt;&gt;"รายรับ"),0,E621)</f>
        <v>0</v>
      </c>
      <c r="I621" s="21" t="n">
        <f aca="false">IF(OR(E621="",D621&lt;&gt;"รายจ่าย"),0,E621)</f>
        <v>0</v>
      </c>
      <c r="J621" s="21" t="str">
        <f aca="false">IF(E621="","",ตั้งค่า!$B$4+SUM($H$5:H621)-SUM($I$5:I621))</f>
        <v/>
      </c>
      <c r="K621" s="22" t="str">
        <f aca="false">IF(A621="","",MONTH(A621))</f>
        <v/>
      </c>
      <c r="L621" s="22" t="str">
        <f aca="false">IF(A621="","",YEAR(A621))</f>
        <v/>
      </c>
    </row>
    <row r="622" customFormat="false" ht="15" hidden="false" customHeight="false" outlineLevel="0" collapsed="false">
      <c r="A622" s="23"/>
      <c r="B622" s="24"/>
      <c r="C622" s="24"/>
      <c r="D622" s="20" t="str">
        <f aca="false">IF(C622="","",IF(COUNTIF(ตั้งค่า!$A$7:$A$18,C622)&gt;0,"รายรับ",IF(COUNTIF(ตั้งค่า!$C$7:$C$31,C622)&gt;0,"รายจ่าย","ไม่พบหมวดหมู่")))</f>
        <v/>
      </c>
      <c r="E622" s="25"/>
      <c r="F622" s="24"/>
      <c r="G622" s="24"/>
      <c r="H622" s="21" t="n">
        <f aca="false">IF(OR(E622="",D622&lt;&gt;"รายรับ"),0,E622)</f>
        <v>0</v>
      </c>
      <c r="I622" s="21" t="n">
        <f aca="false">IF(OR(E622="",D622&lt;&gt;"รายจ่าย"),0,E622)</f>
        <v>0</v>
      </c>
      <c r="J622" s="21" t="str">
        <f aca="false">IF(E622="","",ตั้งค่า!$B$4+SUM($H$5:H622)-SUM($I$5:I622))</f>
        <v/>
      </c>
      <c r="K622" s="22" t="str">
        <f aca="false">IF(A622="","",MONTH(A622))</f>
        <v/>
      </c>
      <c r="L622" s="22" t="str">
        <f aca="false">IF(A622="","",YEAR(A622))</f>
        <v/>
      </c>
    </row>
    <row r="623" customFormat="false" ht="15" hidden="false" customHeight="false" outlineLevel="0" collapsed="false">
      <c r="A623" s="23"/>
      <c r="B623" s="24"/>
      <c r="C623" s="24"/>
      <c r="D623" s="20" t="str">
        <f aca="false">IF(C623="","",IF(COUNTIF(ตั้งค่า!$A$7:$A$18,C623)&gt;0,"รายรับ",IF(COUNTIF(ตั้งค่า!$C$7:$C$31,C623)&gt;0,"รายจ่าย","ไม่พบหมวดหมู่")))</f>
        <v/>
      </c>
      <c r="E623" s="25"/>
      <c r="F623" s="24"/>
      <c r="G623" s="24"/>
      <c r="H623" s="21" t="n">
        <f aca="false">IF(OR(E623="",D623&lt;&gt;"รายรับ"),0,E623)</f>
        <v>0</v>
      </c>
      <c r="I623" s="21" t="n">
        <f aca="false">IF(OR(E623="",D623&lt;&gt;"รายจ่าย"),0,E623)</f>
        <v>0</v>
      </c>
      <c r="J623" s="21" t="str">
        <f aca="false">IF(E623="","",ตั้งค่า!$B$4+SUM($H$5:H623)-SUM($I$5:I623))</f>
        <v/>
      </c>
      <c r="K623" s="22" t="str">
        <f aca="false">IF(A623="","",MONTH(A623))</f>
        <v/>
      </c>
      <c r="L623" s="22" t="str">
        <f aca="false">IF(A623="","",YEAR(A623))</f>
        <v/>
      </c>
    </row>
    <row r="624" customFormat="false" ht="15" hidden="false" customHeight="false" outlineLevel="0" collapsed="false">
      <c r="A624" s="23"/>
      <c r="B624" s="24"/>
      <c r="C624" s="24"/>
      <c r="D624" s="20" t="str">
        <f aca="false">IF(C624="","",IF(COUNTIF(ตั้งค่า!$A$7:$A$18,C624)&gt;0,"รายรับ",IF(COUNTIF(ตั้งค่า!$C$7:$C$31,C624)&gt;0,"รายจ่าย","ไม่พบหมวดหมู่")))</f>
        <v/>
      </c>
      <c r="E624" s="25"/>
      <c r="F624" s="24"/>
      <c r="G624" s="24"/>
      <c r="H624" s="21" t="n">
        <f aca="false">IF(OR(E624="",D624&lt;&gt;"รายรับ"),0,E624)</f>
        <v>0</v>
      </c>
      <c r="I624" s="21" t="n">
        <f aca="false">IF(OR(E624="",D624&lt;&gt;"รายจ่าย"),0,E624)</f>
        <v>0</v>
      </c>
      <c r="J624" s="21" t="str">
        <f aca="false">IF(E624="","",ตั้งค่า!$B$4+SUM($H$5:H624)-SUM($I$5:I624))</f>
        <v/>
      </c>
      <c r="K624" s="22" t="str">
        <f aca="false">IF(A624="","",MONTH(A624))</f>
        <v/>
      </c>
      <c r="L624" s="22" t="str">
        <f aca="false">IF(A624="","",YEAR(A624))</f>
        <v/>
      </c>
    </row>
    <row r="625" customFormat="false" ht="15" hidden="false" customHeight="false" outlineLevel="0" collapsed="false">
      <c r="A625" s="23"/>
      <c r="B625" s="24"/>
      <c r="C625" s="24"/>
      <c r="D625" s="20" t="str">
        <f aca="false">IF(C625="","",IF(COUNTIF(ตั้งค่า!$A$7:$A$18,C625)&gt;0,"รายรับ",IF(COUNTIF(ตั้งค่า!$C$7:$C$31,C625)&gt;0,"รายจ่าย","ไม่พบหมวดหมู่")))</f>
        <v/>
      </c>
      <c r="E625" s="25"/>
      <c r="F625" s="24"/>
      <c r="G625" s="24"/>
      <c r="H625" s="21" t="n">
        <f aca="false">IF(OR(E625="",D625&lt;&gt;"รายรับ"),0,E625)</f>
        <v>0</v>
      </c>
      <c r="I625" s="21" t="n">
        <f aca="false">IF(OR(E625="",D625&lt;&gt;"รายจ่าย"),0,E625)</f>
        <v>0</v>
      </c>
      <c r="J625" s="21" t="str">
        <f aca="false">IF(E625="","",ตั้งค่า!$B$4+SUM($H$5:H625)-SUM($I$5:I625))</f>
        <v/>
      </c>
      <c r="K625" s="22" t="str">
        <f aca="false">IF(A625="","",MONTH(A625))</f>
        <v/>
      </c>
      <c r="L625" s="22" t="str">
        <f aca="false">IF(A625="","",YEAR(A625))</f>
        <v/>
      </c>
    </row>
    <row r="626" customFormat="false" ht="15" hidden="false" customHeight="false" outlineLevel="0" collapsed="false">
      <c r="A626" s="23"/>
      <c r="B626" s="24"/>
      <c r="C626" s="24"/>
      <c r="D626" s="20" t="str">
        <f aca="false">IF(C626="","",IF(COUNTIF(ตั้งค่า!$A$7:$A$18,C626)&gt;0,"รายรับ",IF(COUNTIF(ตั้งค่า!$C$7:$C$31,C626)&gt;0,"รายจ่าย","ไม่พบหมวดหมู่")))</f>
        <v/>
      </c>
      <c r="E626" s="25"/>
      <c r="F626" s="24"/>
      <c r="G626" s="24"/>
      <c r="H626" s="21" t="n">
        <f aca="false">IF(OR(E626="",D626&lt;&gt;"รายรับ"),0,E626)</f>
        <v>0</v>
      </c>
      <c r="I626" s="21" t="n">
        <f aca="false">IF(OR(E626="",D626&lt;&gt;"รายจ่าย"),0,E626)</f>
        <v>0</v>
      </c>
      <c r="J626" s="21" t="str">
        <f aca="false">IF(E626="","",ตั้งค่า!$B$4+SUM($H$5:H626)-SUM($I$5:I626))</f>
        <v/>
      </c>
      <c r="K626" s="22" t="str">
        <f aca="false">IF(A626="","",MONTH(A626))</f>
        <v/>
      </c>
      <c r="L626" s="22" t="str">
        <f aca="false">IF(A626="","",YEAR(A626))</f>
        <v/>
      </c>
    </row>
    <row r="627" customFormat="false" ht="15" hidden="false" customHeight="false" outlineLevel="0" collapsed="false">
      <c r="A627" s="23"/>
      <c r="B627" s="24"/>
      <c r="C627" s="24"/>
      <c r="D627" s="20" t="str">
        <f aca="false">IF(C627="","",IF(COUNTIF(ตั้งค่า!$A$7:$A$18,C627)&gt;0,"รายรับ",IF(COUNTIF(ตั้งค่า!$C$7:$C$31,C627)&gt;0,"รายจ่าย","ไม่พบหมวดหมู่")))</f>
        <v/>
      </c>
      <c r="E627" s="25"/>
      <c r="F627" s="24"/>
      <c r="G627" s="24"/>
      <c r="H627" s="21" t="n">
        <f aca="false">IF(OR(E627="",D627&lt;&gt;"รายรับ"),0,E627)</f>
        <v>0</v>
      </c>
      <c r="I627" s="21" t="n">
        <f aca="false">IF(OR(E627="",D627&lt;&gt;"รายจ่าย"),0,E627)</f>
        <v>0</v>
      </c>
      <c r="J627" s="21" t="str">
        <f aca="false">IF(E627="","",ตั้งค่า!$B$4+SUM($H$5:H627)-SUM($I$5:I627))</f>
        <v/>
      </c>
      <c r="K627" s="22" t="str">
        <f aca="false">IF(A627="","",MONTH(A627))</f>
        <v/>
      </c>
      <c r="L627" s="22" t="str">
        <f aca="false">IF(A627="","",YEAR(A627))</f>
        <v/>
      </c>
    </row>
    <row r="628" customFormat="false" ht="15" hidden="false" customHeight="false" outlineLevel="0" collapsed="false">
      <c r="A628" s="23"/>
      <c r="B628" s="24"/>
      <c r="C628" s="24"/>
      <c r="D628" s="20" t="str">
        <f aca="false">IF(C628="","",IF(COUNTIF(ตั้งค่า!$A$7:$A$18,C628)&gt;0,"รายรับ",IF(COUNTIF(ตั้งค่า!$C$7:$C$31,C628)&gt;0,"รายจ่าย","ไม่พบหมวดหมู่")))</f>
        <v/>
      </c>
      <c r="E628" s="25"/>
      <c r="F628" s="24"/>
      <c r="G628" s="24"/>
      <c r="H628" s="21" t="n">
        <f aca="false">IF(OR(E628="",D628&lt;&gt;"รายรับ"),0,E628)</f>
        <v>0</v>
      </c>
      <c r="I628" s="21" t="n">
        <f aca="false">IF(OR(E628="",D628&lt;&gt;"รายจ่าย"),0,E628)</f>
        <v>0</v>
      </c>
      <c r="J628" s="21" t="str">
        <f aca="false">IF(E628="","",ตั้งค่า!$B$4+SUM($H$5:H628)-SUM($I$5:I628))</f>
        <v/>
      </c>
      <c r="K628" s="22" t="str">
        <f aca="false">IF(A628="","",MONTH(A628))</f>
        <v/>
      </c>
      <c r="L628" s="22" t="str">
        <f aca="false">IF(A628="","",YEAR(A628))</f>
        <v/>
      </c>
    </row>
    <row r="629" customFormat="false" ht="15" hidden="false" customHeight="false" outlineLevel="0" collapsed="false">
      <c r="A629" s="23"/>
      <c r="B629" s="24"/>
      <c r="C629" s="24"/>
      <c r="D629" s="20" t="str">
        <f aca="false">IF(C629="","",IF(COUNTIF(ตั้งค่า!$A$7:$A$18,C629)&gt;0,"รายรับ",IF(COUNTIF(ตั้งค่า!$C$7:$C$31,C629)&gt;0,"รายจ่าย","ไม่พบหมวดหมู่")))</f>
        <v/>
      </c>
      <c r="E629" s="25"/>
      <c r="F629" s="24"/>
      <c r="G629" s="24"/>
      <c r="H629" s="21" t="n">
        <f aca="false">IF(OR(E629="",D629&lt;&gt;"รายรับ"),0,E629)</f>
        <v>0</v>
      </c>
      <c r="I629" s="21" t="n">
        <f aca="false">IF(OR(E629="",D629&lt;&gt;"รายจ่าย"),0,E629)</f>
        <v>0</v>
      </c>
      <c r="J629" s="21" t="str">
        <f aca="false">IF(E629="","",ตั้งค่า!$B$4+SUM($H$5:H629)-SUM($I$5:I629))</f>
        <v/>
      </c>
      <c r="K629" s="22" t="str">
        <f aca="false">IF(A629="","",MONTH(A629))</f>
        <v/>
      </c>
      <c r="L629" s="22" t="str">
        <f aca="false">IF(A629="","",YEAR(A629))</f>
        <v/>
      </c>
    </row>
    <row r="630" customFormat="false" ht="15" hidden="false" customHeight="false" outlineLevel="0" collapsed="false">
      <c r="A630" s="23"/>
      <c r="B630" s="24"/>
      <c r="C630" s="24"/>
      <c r="D630" s="20" t="str">
        <f aca="false">IF(C630="","",IF(COUNTIF(ตั้งค่า!$A$7:$A$18,C630)&gt;0,"รายรับ",IF(COUNTIF(ตั้งค่า!$C$7:$C$31,C630)&gt;0,"รายจ่าย","ไม่พบหมวดหมู่")))</f>
        <v/>
      </c>
      <c r="E630" s="25"/>
      <c r="F630" s="24"/>
      <c r="G630" s="24"/>
      <c r="H630" s="21" t="n">
        <f aca="false">IF(OR(E630="",D630&lt;&gt;"รายรับ"),0,E630)</f>
        <v>0</v>
      </c>
      <c r="I630" s="21" t="n">
        <f aca="false">IF(OR(E630="",D630&lt;&gt;"รายจ่าย"),0,E630)</f>
        <v>0</v>
      </c>
      <c r="J630" s="21" t="str">
        <f aca="false">IF(E630="","",ตั้งค่า!$B$4+SUM($H$5:H630)-SUM($I$5:I630))</f>
        <v/>
      </c>
      <c r="K630" s="22" t="str">
        <f aca="false">IF(A630="","",MONTH(A630))</f>
        <v/>
      </c>
      <c r="L630" s="22" t="str">
        <f aca="false">IF(A630="","",YEAR(A630))</f>
        <v/>
      </c>
    </row>
    <row r="631" customFormat="false" ht="15" hidden="false" customHeight="false" outlineLevel="0" collapsed="false">
      <c r="A631" s="23"/>
      <c r="B631" s="24"/>
      <c r="C631" s="24"/>
      <c r="D631" s="20" t="str">
        <f aca="false">IF(C631="","",IF(COUNTIF(ตั้งค่า!$A$7:$A$18,C631)&gt;0,"รายรับ",IF(COUNTIF(ตั้งค่า!$C$7:$C$31,C631)&gt;0,"รายจ่าย","ไม่พบหมวดหมู่")))</f>
        <v/>
      </c>
      <c r="E631" s="25"/>
      <c r="F631" s="24"/>
      <c r="G631" s="24"/>
      <c r="H631" s="21" t="n">
        <f aca="false">IF(OR(E631="",D631&lt;&gt;"รายรับ"),0,E631)</f>
        <v>0</v>
      </c>
      <c r="I631" s="21" t="n">
        <f aca="false">IF(OR(E631="",D631&lt;&gt;"รายจ่าย"),0,E631)</f>
        <v>0</v>
      </c>
      <c r="J631" s="21" t="str">
        <f aca="false">IF(E631="","",ตั้งค่า!$B$4+SUM($H$5:H631)-SUM($I$5:I631))</f>
        <v/>
      </c>
      <c r="K631" s="22" t="str">
        <f aca="false">IF(A631="","",MONTH(A631))</f>
        <v/>
      </c>
      <c r="L631" s="22" t="str">
        <f aca="false">IF(A631="","",YEAR(A631))</f>
        <v/>
      </c>
    </row>
    <row r="632" customFormat="false" ht="15" hidden="false" customHeight="false" outlineLevel="0" collapsed="false">
      <c r="A632" s="23"/>
      <c r="B632" s="24"/>
      <c r="C632" s="24"/>
      <c r="D632" s="20" t="str">
        <f aca="false">IF(C632="","",IF(COUNTIF(ตั้งค่า!$A$7:$A$18,C632)&gt;0,"รายรับ",IF(COUNTIF(ตั้งค่า!$C$7:$C$31,C632)&gt;0,"รายจ่าย","ไม่พบหมวดหมู่")))</f>
        <v/>
      </c>
      <c r="E632" s="25"/>
      <c r="F632" s="24"/>
      <c r="G632" s="24"/>
      <c r="H632" s="21" t="n">
        <f aca="false">IF(OR(E632="",D632&lt;&gt;"รายรับ"),0,E632)</f>
        <v>0</v>
      </c>
      <c r="I632" s="21" t="n">
        <f aca="false">IF(OR(E632="",D632&lt;&gt;"รายจ่าย"),0,E632)</f>
        <v>0</v>
      </c>
      <c r="J632" s="21" t="str">
        <f aca="false">IF(E632="","",ตั้งค่า!$B$4+SUM($H$5:H632)-SUM($I$5:I632))</f>
        <v/>
      </c>
      <c r="K632" s="22" t="str">
        <f aca="false">IF(A632="","",MONTH(A632))</f>
        <v/>
      </c>
      <c r="L632" s="22" t="str">
        <f aca="false">IF(A632="","",YEAR(A632))</f>
        <v/>
      </c>
    </row>
    <row r="633" customFormat="false" ht="15" hidden="false" customHeight="false" outlineLevel="0" collapsed="false">
      <c r="A633" s="23"/>
      <c r="B633" s="24"/>
      <c r="C633" s="24"/>
      <c r="D633" s="20" t="str">
        <f aca="false">IF(C633="","",IF(COUNTIF(ตั้งค่า!$A$7:$A$18,C633)&gt;0,"รายรับ",IF(COUNTIF(ตั้งค่า!$C$7:$C$31,C633)&gt;0,"รายจ่าย","ไม่พบหมวดหมู่")))</f>
        <v/>
      </c>
      <c r="E633" s="25"/>
      <c r="F633" s="24"/>
      <c r="G633" s="24"/>
      <c r="H633" s="21" t="n">
        <f aca="false">IF(OR(E633="",D633&lt;&gt;"รายรับ"),0,E633)</f>
        <v>0</v>
      </c>
      <c r="I633" s="21" t="n">
        <f aca="false">IF(OR(E633="",D633&lt;&gt;"รายจ่าย"),0,E633)</f>
        <v>0</v>
      </c>
      <c r="J633" s="21" t="str">
        <f aca="false">IF(E633="","",ตั้งค่า!$B$4+SUM($H$5:H633)-SUM($I$5:I633))</f>
        <v/>
      </c>
      <c r="K633" s="22" t="str">
        <f aca="false">IF(A633="","",MONTH(A633))</f>
        <v/>
      </c>
      <c r="L633" s="22" t="str">
        <f aca="false">IF(A633="","",YEAR(A633))</f>
        <v/>
      </c>
    </row>
    <row r="634" customFormat="false" ht="15" hidden="false" customHeight="false" outlineLevel="0" collapsed="false">
      <c r="A634" s="23"/>
      <c r="B634" s="24"/>
      <c r="C634" s="24"/>
      <c r="D634" s="20" t="str">
        <f aca="false">IF(C634="","",IF(COUNTIF(ตั้งค่า!$A$7:$A$18,C634)&gt;0,"รายรับ",IF(COUNTIF(ตั้งค่า!$C$7:$C$31,C634)&gt;0,"รายจ่าย","ไม่พบหมวดหมู่")))</f>
        <v/>
      </c>
      <c r="E634" s="25"/>
      <c r="F634" s="24"/>
      <c r="G634" s="24"/>
      <c r="H634" s="21" t="n">
        <f aca="false">IF(OR(E634="",D634&lt;&gt;"รายรับ"),0,E634)</f>
        <v>0</v>
      </c>
      <c r="I634" s="21" t="n">
        <f aca="false">IF(OR(E634="",D634&lt;&gt;"รายจ่าย"),0,E634)</f>
        <v>0</v>
      </c>
      <c r="J634" s="21" t="str">
        <f aca="false">IF(E634="","",ตั้งค่า!$B$4+SUM($H$5:H634)-SUM($I$5:I634))</f>
        <v/>
      </c>
      <c r="K634" s="22" t="str">
        <f aca="false">IF(A634="","",MONTH(A634))</f>
        <v/>
      </c>
      <c r="L634" s="22" t="str">
        <f aca="false">IF(A634="","",YEAR(A634))</f>
        <v/>
      </c>
    </row>
    <row r="635" customFormat="false" ht="15" hidden="false" customHeight="false" outlineLevel="0" collapsed="false">
      <c r="A635" s="23"/>
      <c r="B635" s="24"/>
      <c r="C635" s="24"/>
      <c r="D635" s="20" t="str">
        <f aca="false">IF(C635="","",IF(COUNTIF(ตั้งค่า!$A$7:$A$18,C635)&gt;0,"รายรับ",IF(COUNTIF(ตั้งค่า!$C$7:$C$31,C635)&gt;0,"รายจ่าย","ไม่พบหมวดหมู่")))</f>
        <v/>
      </c>
      <c r="E635" s="25"/>
      <c r="F635" s="24"/>
      <c r="G635" s="24"/>
      <c r="H635" s="21" t="n">
        <f aca="false">IF(OR(E635="",D635&lt;&gt;"รายรับ"),0,E635)</f>
        <v>0</v>
      </c>
      <c r="I635" s="21" t="n">
        <f aca="false">IF(OR(E635="",D635&lt;&gt;"รายจ่าย"),0,E635)</f>
        <v>0</v>
      </c>
      <c r="J635" s="21" t="str">
        <f aca="false">IF(E635="","",ตั้งค่า!$B$4+SUM($H$5:H635)-SUM($I$5:I635))</f>
        <v/>
      </c>
      <c r="K635" s="22" t="str">
        <f aca="false">IF(A635="","",MONTH(A635))</f>
        <v/>
      </c>
      <c r="L635" s="22" t="str">
        <f aca="false">IF(A635="","",YEAR(A635))</f>
        <v/>
      </c>
    </row>
    <row r="636" customFormat="false" ht="15" hidden="false" customHeight="false" outlineLevel="0" collapsed="false">
      <c r="A636" s="23"/>
      <c r="B636" s="24"/>
      <c r="C636" s="24"/>
      <c r="D636" s="20" t="str">
        <f aca="false">IF(C636="","",IF(COUNTIF(ตั้งค่า!$A$7:$A$18,C636)&gt;0,"รายรับ",IF(COUNTIF(ตั้งค่า!$C$7:$C$31,C636)&gt;0,"รายจ่าย","ไม่พบหมวดหมู่")))</f>
        <v/>
      </c>
      <c r="E636" s="25"/>
      <c r="F636" s="24"/>
      <c r="G636" s="24"/>
      <c r="H636" s="21" t="n">
        <f aca="false">IF(OR(E636="",D636&lt;&gt;"รายรับ"),0,E636)</f>
        <v>0</v>
      </c>
      <c r="I636" s="21" t="n">
        <f aca="false">IF(OR(E636="",D636&lt;&gt;"รายจ่าย"),0,E636)</f>
        <v>0</v>
      </c>
      <c r="J636" s="21" t="str">
        <f aca="false">IF(E636="","",ตั้งค่า!$B$4+SUM($H$5:H636)-SUM($I$5:I636))</f>
        <v/>
      </c>
      <c r="K636" s="22" t="str">
        <f aca="false">IF(A636="","",MONTH(A636))</f>
        <v/>
      </c>
      <c r="L636" s="22" t="str">
        <f aca="false">IF(A636="","",YEAR(A636))</f>
        <v/>
      </c>
    </row>
    <row r="637" customFormat="false" ht="15" hidden="false" customHeight="false" outlineLevel="0" collapsed="false">
      <c r="A637" s="23"/>
      <c r="B637" s="24"/>
      <c r="C637" s="24"/>
      <c r="D637" s="20" t="str">
        <f aca="false">IF(C637="","",IF(COUNTIF(ตั้งค่า!$A$7:$A$18,C637)&gt;0,"รายรับ",IF(COUNTIF(ตั้งค่า!$C$7:$C$31,C637)&gt;0,"รายจ่าย","ไม่พบหมวดหมู่")))</f>
        <v/>
      </c>
      <c r="E637" s="25"/>
      <c r="F637" s="24"/>
      <c r="G637" s="24"/>
      <c r="H637" s="21" t="n">
        <f aca="false">IF(OR(E637="",D637&lt;&gt;"รายรับ"),0,E637)</f>
        <v>0</v>
      </c>
      <c r="I637" s="21" t="n">
        <f aca="false">IF(OR(E637="",D637&lt;&gt;"รายจ่าย"),0,E637)</f>
        <v>0</v>
      </c>
      <c r="J637" s="21" t="str">
        <f aca="false">IF(E637="","",ตั้งค่า!$B$4+SUM($H$5:H637)-SUM($I$5:I637))</f>
        <v/>
      </c>
      <c r="K637" s="22" t="str">
        <f aca="false">IF(A637="","",MONTH(A637))</f>
        <v/>
      </c>
      <c r="L637" s="22" t="str">
        <f aca="false">IF(A637="","",YEAR(A637))</f>
        <v/>
      </c>
    </row>
    <row r="638" customFormat="false" ht="15" hidden="false" customHeight="false" outlineLevel="0" collapsed="false">
      <c r="A638" s="23"/>
      <c r="B638" s="24"/>
      <c r="C638" s="24"/>
      <c r="D638" s="20" t="str">
        <f aca="false">IF(C638="","",IF(COUNTIF(ตั้งค่า!$A$7:$A$18,C638)&gt;0,"รายรับ",IF(COUNTIF(ตั้งค่า!$C$7:$C$31,C638)&gt;0,"รายจ่าย","ไม่พบหมวดหมู่")))</f>
        <v/>
      </c>
      <c r="E638" s="25"/>
      <c r="F638" s="24"/>
      <c r="G638" s="24"/>
      <c r="H638" s="21" t="n">
        <f aca="false">IF(OR(E638="",D638&lt;&gt;"รายรับ"),0,E638)</f>
        <v>0</v>
      </c>
      <c r="I638" s="21" t="n">
        <f aca="false">IF(OR(E638="",D638&lt;&gt;"รายจ่าย"),0,E638)</f>
        <v>0</v>
      </c>
      <c r="J638" s="21" t="str">
        <f aca="false">IF(E638="","",ตั้งค่า!$B$4+SUM($H$5:H638)-SUM($I$5:I638))</f>
        <v/>
      </c>
      <c r="K638" s="22" t="str">
        <f aca="false">IF(A638="","",MONTH(A638))</f>
        <v/>
      </c>
      <c r="L638" s="22" t="str">
        <f aca="false">IF(A638="","",YEAR(A638))</f>
        <v/>
      </c>
    </row>
    <row r="639" customFormat="false" ht="15" hidden="false" customHeight="false" outlineLevel="0" collapsed="false">
      <c r="A639" s="23"/>
      <c r="B639" s="24"/>
      <c r="C639" s="24"/>
      <c r="D639" s="20" t="str">
        <f aca="false">IF(C639="","",IF(COUNTIF(ตั้งค่า!$A$7:$A$18,C639)&gt;0,"รายรับ",IF(COUNTIF(ตั้งค่า!$C$7:$C$31,C639)&gt;0,"รายจ่าย","ไม่พบหมวดหมู่")))</f>
        <v/>
      </c>
      <c r="E639" s="25"/>
      <c r="F639" s="24"/>
      <c r="G639" s="24"/>
      <c r="H639" s="21" t="n">
        <f aca="false">IF(OR(E639="",D639&lt;&gt;"รายรับ"),0,E639)</f>
        <v>0</v>
      </c>
      <c r="I639" s="21" t="n">
        <f aca="false">IF(OR(E639="",D639&lt;&gt;"รายจ่าย"),0,E639)</f>
        <v>0</v>
      </c>
      <c r="J639" s="21" t="str">
        <f aca="false">IF(E639="","",ตั้งค่า!$B$4+SUM($H$5:H639)-SUM($I$5:I639))</f>
        <v/>
      </c>
      <c r="K639" s="22" t="str">
        <f aca="false">IF(A639="","",MONTH(A639))</f>
        <v/>
      </c>
      <c r="L639" s="22" t="str">
        <f aca="false">IF(A639="","",YEAR(A639))</f>
        <v/>
      </c>
    </row>
    <row r="640" customFormat="false" ht="15" hidden="false" customHeight="false" outlineLevel="0" collapsed="false">
      <c r="A640" s="23"/>
      <c r="B640" s="24"/>
      <c r="C640" s="24"/>
      <c r="D640" s="20" t="str">
        <f aca="false">IF(C640="","",IF(COUNTIF(ตั้งค่า!$A$7:$A$18,C640)&gt;0,"รายรับ",IF(COUNTIF(ตั้งค่า!$C$7:$C$31,C640)&gt;0,"รายจ่าย","ไม่พบหมวดหมู่")))</f>
        <v/>
      </c>
      <c r="E640" s="25"/>
      <c r="F640" s="24"/>
      <c r="G640" s="24"/>
      <c r="H640" s="21" t="n">
        <f aca="false">IF(OR(E640="",D640&lt;&gt;"รายรับ"),0,E640)</f>
        <v>0</v>
      </c>
      <c r="I640" s="21" t="n">
        <f aca="false">IF(OR(E640="",D640&lt;&gt;"รายจ่าย"),0,E640)</f>
        <v>0</v>
      </c>
      <c r="J640" s="21" t="str">
        <f aca="false">IF(E640="","",ตั้งค่า!$B$4+SUM($H$5:H640)-SUM($I$5:I640))</f>
        <v/>
      </c>
      <c r="K640" s="22" t="str">
        <f aca="false">IF(A640="","",MONTH(A640))</f>
        <v/>
      </c>
      <c r="L640" s="22" t="str">
        <f aca="false">IF(A640="","",YEAR(A640))</f>
        <v/>
      </c>
    </row>
    <row r="641" customFormat="false" ht="15" hidden="false" customHeight="false" outlineLevel="0" collapsed="false">
      <c r="A641" s="23"/>
      <c r="B641" s="24"/>
      <c r="C641" s="24"/>
      <c r="D641" s="20" t="str">
        <f aca="false">IF(C641="","",IF(COUNTIF(ตั้งค่า!$A$7:$A$18,C641)&gt;0,"รายรับ",IF(COUNTIF(ตั้งค่า!$C$7:$C$31,C641)&gt;0,"รายจ่าย","ไม่พบหมวดหมู่")))</f>
        <v/>
      </c>
      <c r="E641" s="25"/>
      <c r="F641" s="24"/>
      <c r="G641" s="24"/>
      <c r="H641" s="21" t="n">
        <f aca="false">IF(OR(E641="",D641&lt;&gt;"รายรับ"),0,E641)</f>
        <v>0</v>
      </c>
      <c r="I641" s="21" t="n">
        <f aca="false">IF(OR(E641="",D641&lt;&gt;"รายจ่าย"),0,E641)</f>
        <v>0</v>
      </c>
      <c r="J641" s="21" t="str">
        <f aca="false">IF(E641="","",ตั้งค่า!$B$4+SUM($H$5:H641)-SUM($I$5:I641))</f>
        <v/>
      </c>
      <c r="K641" s="22" t="str">
        <f aca="false">IF(A641="","",MONTH(A641))</f>
        <v/>
      </c>
      <c r="L641" s="22" t="str">
        <f aca="false">IF(A641="","",YEAR(A641))</f>
        <v/>
      </c>
    </row>
    <row r="642" customFormat="false" ht="15" hidden="false" customHeight="false" outlineLevel="0" collapsed="false">
      <c r="A642" s="23"/>
      <c r="B642" s="24"/>
      <c r="C642" s="24"/>
      <c r="D642" s="20" t="str">
        <f aca="false">IF(C642="","",IF(COUNTIF(ตั้งค่า!$A$7:$A$18,C642)&gt;0,"รายรับ",IF(COUNTIF(ตั้งค่า!$C$7:$C$31,C642)&gt;0,"รายจ่าย","ไม่พบหมวดหมู่")))</f>
        <v/>
      </c>
      <c r="E642" s="25"/>
      <c r="F642" s="24"/>
      <c r="G642" s="24"/>
      <c r="H642" s="21" t="n">
        <f aca="false">IF(OR(E642="",D642&lt;&gt;"รายรับ"),0,E642)</f>
        <v>0</v>
      </c>
      <c r="I642" s="21" t="n">
        <f aca="false">IF(OR(E642="",D642&lt;&gt;"รายจ่าย"),0,E642)</f>
        <v>0</v>
      </c>
      <c r="J642" s="21" t="str">
        <f aca="false">IF(E642="","",ตั้งค่า!$B$4+SUM($H$5:H642)-SUM($I$5:I642))</f>
        <v/>
      </c>
      <c r="K642" s="22" t="str">
        <f aca="false">IF(A642="","",MONTH(A642))</f>
        <v/>
      </c>
      <c r="L642" s="22" t="str">
        <f aca="false">IF(A642="","",YEAR(A642))</f>
        <v/>
      </c>
    </row>
    <row r="643" customFormat="false" ht="15" hidden="false" customHeight="false" outlineLevel="0" collapsed="false">
      <c r="A643" s="23"/>
      <c r="B643" s="24"/>
      <c r="C643" s="24"/>
      <c r="D643" s="20" t="str">
        <f aca="false">IF(C643="","",IF(COUNTIF(ตั้งค่า!$A$7:$A$18,C643)&gt;0,"รายรับ",IF(COUNTIF(ตั้งค่า!$C$7:$C$31,C643)&gt;0,"รายจ่าย","ไม่พบหมวดหมู่")))</f>
        <v/>
      </c>
      <c r="E643" s="25"/>
      <c r="F643" s="24"/>
      <c r="G643" s="24"/>
      <c r="H643" s="21" t="n">
        <f aca="false">IF(OR(E643="",D643&lt;&gt;"รายรับ"),0,E643)</f>
        <v>0</v>
      </c>
      <c r="I643" s="21" t="n">
        <f aca="false">IF(OR(E643="",D643&lt;&gt;"รายจ่าย"),0,E643)</f>
        <v>0</v>
      </c>
      <c r="J643" s="21" t="str">
        <f aca="false">IF(E643="","",ตั้งค่า!$B$4+SUM($H$5:H643)-SUM($I$5:I643))</f>
        <v/>
      </c>
      <c r="K643" s="22" t="str">
        <f aca="false">IF(A643="","",MONTH(A643))</f>
        <v/>
      </c>
      <c r="L643" s="22" t="str">
        <f aca="false">IF(A643="","",YEAR(A643))</f>
        <v/>
      </c>
    </row>
    <row r="644" customFormat="false" ht="15" hidden="false" customHeight="false" outlineLevel="0" collapsed="false">
      <c r="A644" s="23"/>
      <c r="B644" s="24"/>
      <c r="C644" s="24"/>
      <c r="D644" s="20" t="str">
        <f aca="false">IF(C644="","",IF(COUNTIF(ตั้งค่า!$A$7:$A$18,C644)&gt;0,"รายรับ",IF(COUNTIF(ตั้งค่า!$C$7:$C$31,C644)&gt;0,"รายจ่าย","ไม่พบหมวดหมู่")))</f>
        <v/>
      </c>
      <c r="E644" s="25"/>
      <c r="F644" s="24"/>
      <c r="G644" s="24"/>
      <c r="H644" s="21" t="n">
        <f aca="false">IF(OR(E644="",D644&lt;&gt;"รายรับ"),0,E644)</f>
        <v>0</v>
      </c>
      <c r="I644" s="21" t="n">
        <f aca="false">IF(OR(E644="",D644&lt;&gt;"รายจ่าย"),0,E644)</f>
        <v>0</v>
      </c>
      <c r="J644" s="21" t="str">
        <f aca="false">IF(E644="","",ตั้งค่า!$B$4+SUM($H$5:H644)-SUM($I$5:I644))</f>
        <v/>
      </c>
      <c r="K644" s="22" t="str">
        <f aca="false">IF(A644="","",MONTH(A644))</f>
        <v/>
      </c>
      <c r="L644" s="22" t="str">
        <f aca="false">IF(A644="","",YEAR(A644))</f>
        <v/>
      </c>
    </row>
    <row r="645" customFormat="false" ht="15" hidden="false" customHeight="false" outlineLevel="0" collapsed="false">
      <c r="A645" s="23"/>
      <c r="B645" s="24"/>
      <c r="C645" s="24"/>
      <c r="D645" s="20" t="str">
        <f aca="false">IF(C645="","",IF(COUNTIF(ตั้งค่า!$A$7:$A$18,C645)&gt;0,"รายรับ",IF(COUNTIF(ตั้งค่า!$C$7:$C$31,C645)&gt;0,"รายจ่าย","ไม่พบหมวดหมู่")))</f>
        <v/>
      </c>
      <c r="E645" s="25"/>
      <c r="F645" s="24"/>
      <c r="G645" s="24"/>
      <c r="H645" s="21" t="n">
        <f aca="false">IF(OR(E645="",D645&lt;&gt;"รายรับ"),0,E645)</f>
        <v>0</v>
      </c>
      <c r="I645" s="21" t="n">
        <f aca="false">IF(OR(E645="",D645&lt;&gt;"รายจ่าย"),0,E645)</f>
        <v>0</v>
      </c>
      <c r="J645" s="21" t="str">
        <f aca="false">IF(E645="","",ตั้งค่า!$B$4+SUM($H$5:H645)-SUM($I$5:I645))</f>
        <v/>
      </c>
      <c r="K645" s="22" t="str">
        <f aca="false">IF(A645="","",MONTH(A645))</f>
        <v/>
      </c>
      <c r="L645" s="22" t="str">
        <f aca="false">IF(A645="","",YEAR(A645))</f>
        <v/>
      </c>
    </row>
    <row r="646" customFormat="false" ht="15" hidden="false" customHeight="false" outlineLevel="0" collapsed="false">
      <c r="A646" s="23"/>
      <c r="B646" s="24"/>
      <c r="C646" s="24"/>
      <c r="D646" s="20" t="str">
        <f aca="false">IF(C646="","",IF(COUNTIF(ตั้งค่า!$A$7:$A$18,C646)&gt;0,"รายรับ",IF(COUNTIF(ตั้งค่า!$C$7:$C$31,C646)&gt;0,"รายจ่าย","ไม่พบหมวดหมู่")))</f>
        <v/>
      </c>
      <c r="E646" s="25"/>
      <c r="F646" s="24"/>
      <c r="G646" s="24"/>
      <c r="H646" s="21" t="n">
        <f aca="false">IF(OR(E646="",D646&lt;&gt;"รายรับ"),0,E646)</f>
        <v>0</v>
      </c>
      <c r="I646" s="21" t="n">
        <f aca="false">IF(OR(E646="",D646&lt;&gt;"รายจ่าย"),0,E646)</f>
        <v>0</v>
      </c>
      <c r="J646" s="21" t="str">
        <f aca="false">IF(E646="","",ตั้งค่า!$B$4+SUM($H$5:H646)-SUM($I$5:I646))</f>
        <v/>
      </c>
      <c r="K646" s="22" t="str">
        <f aca="false">IF(A646="","",MONTH(A646))</f>
        <v/>
      </c>
      <c r="L646" s="22" t="str">
        <f aca="false">IF(A646="","",YEAR(A646))</f>
        <v/>
      </c>
    </row>
    <row r="647" customFormat="false" ht="15" hidden="false" customHeight="false" outlineLevel="0" collapsed="false">
      <c r="A647" s="23"/>
      <c r="B647" s="24"/>
      <c r="C647" s="24"/>
      <c r="D647" s="20" t="str">
        <f aca="false">IF(C647="","",IF(COUNTIF(ตั้งค่า!$A$7:$A$18,C647)&gt;0,"รายรับ",IF(COUNTIF(ตั้งค่า!$C$7:$C$31,C647)&gt;0,"รายจ่าย","ไม่พบหมวดหมู่")))</f>
        <v/>
      </c>
      <c r="E647" s="25"/>
      <c r="F647" s="24"/>
      <c r="G647" s="24"/>
      <c r="H647" s="21" t="n">
        <f aca="false">IF(OR(E647="",D647&lt;&gt;"รายรับ"),0,E647)</f>
        <v>0</v>
      </c>
      <c r="I647" s="21" t="n">
        <f aca="false">IF(OR(E647="",D647&lt;&gt;"รายจ่าย"),0,E647)</f>
        <v>0</v>
      </c>
      <c r="J647" s="21" t="str">
        <f aca="false">IF(E647="","",ตั้งค่า!$B$4+SUM($H$5:H647)-SUM($I$5:I647))</f>
        <v/>
      </c>
      <c r="K647" s="22" t="str">
        <f aca="false">IF(A647="","",MONTH(A647))</f>
        <v/>
      </c>
      <c r="L647" s="22" t="str">
        <f aca="false">IF(A647="","",YEAR(A647))</f>
        <v/>
      </c>
    </row>
    <row r="648" customFormat="false" ht="15" hidden="false" customHeight="false" outlineLevel="0" collapsed="false">
      <c r="A648" s="23"/>
      <c r="B648" s="24"/>
      <c r="C648" s="24"/>
      <c r="D648" s="20" t="str">
        <f aca="false">IF(C648="","",IF(COUNTIF(ตั้งค่า!$A$7:$A$18,C648)&gt;0,"รายรับ",IF(COUNTIF(ตั้งค่า!$C$7:$C$31,C648)&gt;0,"รายจ่าย","ไม่พบหมวดหมู่")))</f>
        <v/>
      </c>
      <c r="E648" s="25"/>
      <c r="F648" s="24"/>
      <c r="G648" s="24"/>
      <c r="H648" s="21" t="n">
        <f aca="false">IF(OR(E648="",D648&lt;&gt;"รายรับ"),0,E648)</f>
        <v>0</v>
      </c>
      <c r="I648" s="21" t="n">
        <f aca="false">IF(OR(E648="",D648&lt;&gt;"รายจ่าย"),0,E648)</f>
        <v>0</v>
      </c>
      <c r="J648" s="21" t="str">
        <f aca="false">IF(E648="","",ตั้งค่า!$B$4+SUM($H$5:H648)-SUM($I$5:I648))</f>
        <v/>
      </c>
      <c r="K648" s="22" t="str">
        <f aca="false">IF(A648="","",MONTH(A648))</f>
        <v/>
      </c>
      <c r="L648" s="22" t="str">
        <f aca="false">IF(A648="","",YEAR(A648))</f>
        <v/>
      </c>
    </row>
    <row r="649" customFormat="false" ht="15" hidden="false" customHeight="false" outlineLevel="0" collapsed="false">
      <c r="A649" s="23"/>
      <c r="B649" s="24"/>
      <c r="C649" s="24"/>
      <c r="D649" s="20" t="str">
        <f aca="false">IF(C649="","",IF(COUNTIF(ตั้งค่า!$A$7:$A$18,C649)&gt;0,"รายรับ",IF(COUNTIF(ตั้งค่า!$C$7:$C$31,C649)&gt;0,"รายจ่าย","ไม่พบหมวดหมู่")))</f>
        <v/>
      </c>
      <c r="E649" s="25"/>
      <c r="F649" s="24"/>
      <c r="G649" s="24"/>
      <c r="H649" s="21" t="n">
        <f aca="false">IF(OR(E649="",D649&lt;&gt;"รายรับ"),0,E649)</f>
        <v>0</v>
      </c>
      <c r="I649" s="21" t="n">
        <f aca="false">IF(OR(E649="",D649&lt;&gt;"รายจ่าย"),0,E649)</f>
        <v>0</v>
      </c>
      <c r="J649" s="21" t="str">
        <f aca="false">IF(E649="","",ตั้งค่า!$B$4+SUM($H$5:H649)-SUM($I$5:I649))</f>
        <v/>
      </c>
      <c r="K649" s="22" t="str">
        <f aca="false">IF(A649="","",MONTH(A649))</f>
        <v/>
      </c>
      <c r="L649" s="22" t="str">
        <f aca="false">IF(A649="","",YEAR(A649))</f>
        <v/>
      </c>
    </row>
    <row r="650" customFormat="false" ht="15" hidden="false" customHeight="false" outlineLevel="0" collapsed="false">
      <c r="A650" s="23"/>
      <c r="B650" s="24"/>
      <c r="C650" s="24"/>
      <c r="D650" s="20" t="str">
        <f aca="false">IF(C650="","",IF(COUNTIF(ตั้งค่า!$A$7:$A$18,C650)&gt;0,"รายรับ",IF(COUNTIF(ตั้งค่า!$C$7:$C$31,C650)&gt;0,"รายจ่าย","ไม่พบหมวดหมู่")))</f>
        <v/>
      </c>
      <c r="E650" s="25"/>
      <c r="F650" s="24"/>
      <c r="G650" s="24"/>
      <c r="H650" s="21" t="n">
        <f aca="false">IF(OR(E650="",D650&lt;&gt;"รายรับ"),0,E650)</f>
        <v>0</v>
      </c>
      <c r="I650" s="21" t="n">
        <f aca="false">IF(OR(E650="",D650&lt;&gt;"รายจ่าย"),0,E650)</f>
        <v>0</v>
      </c>
      <c r="J650" s="21" t="str">
        <f aca="false">IF(E650="","",ตั้งค่า!$B$4+SUM($H$5:H650)-SUM($I$5:I650))</f>
        <v/>
      </c>
      <c r="K650" s="22" t="str">
        <f aca="false">IF(A650="","",MONTH(A650))</f>
        <v/>
      </c>
      <c r="L650" s="22" t="str">
        <f aca="false">IF(A650="","",YEAR(A650))</f>
        <v/>
      </c>
    </row>
    <row r="651" customFormat="false" ht="15" hidden="false" customHeight="false" outlineLevel="0" collapsed="false">
      <c r="A651" s="23"/>
      <c r="B651" s="24"/>
      <c r="C651" s="24"/>
      <c r="D651" s="20" t="str">
        <f aca="false">IF(C651="","",IF(COUNTIF(ตั้งค่า!$A$7:$A$18,C651)&gt;0,"รายรับ",IF(COUNTIF(ตั้งค่า!$C$7:$C$31,C651)&gt;0,"รายจ่าย","ไม่พบหมวดหมู่")))</f>
        <v/>
      </c>
      <c r="E651" s="25"/>
      <c r="F651" s="24"/>
      <c r="G651" s="24"/>
      <c r="H651" s="21" t="n">
        <f aca="false">IF(OR(E651="",D651&lt;&gt;"รายรับ"),0,E651)</f>
        <v>0</v>
      </c>
      <c r="I651" s="21" t="n">
        <f aca="false">IF(OR(E651="",D651&lt;&gt;"รายจ่าย"),0,E651)</f>
        <v>0</v>
      </c>
      <c r="J651" s="21" t="str">
        <f aca="false">IF(E651="","",ตั้งค่า!$B$4+SUM($H$5:H651)-SUM($I$5:I651))</f>
        <v/>
      </c>
      <c r="K651" s="22" t="str">
        <f aca="false">IF(A651="","",MONTH(A651))</f>
        <v/>
      </c>
      <c r="L651" s="22" t="str">
        <f aca="false">IF(A651="","",YEAR(A651))</f>
        <v/>
      </c>
    </row>
    <row r="652" customFormat="false" ht="15" hidden="false" customHeight="false" outlineLevel="0" collapsed="false">
      <c r="A652" s="23"/>
      <c r="B652" s="24"/>
      <c r="C652" s="24"/>
      <c r="D652" s="20" t="str">
        <f aca="false">IF(C652="","",IF(COUNTIF(ตั้งค่า!$A$7:$A$18,C652)&gt;0,"รายรับ",IF(COUNTIF(ตั้งค่า!$C$7:$C$31,C652)&gt;0,"รายจ่าย","ไม่พบหมวดหมู่")))</f>
        <v/>
      </c>
      <c r="E652" s="25"/>
      <c r="F652" s="24"/>
      <c r="G652" s="24"/>
      <c r="H652" s="21" t="n">
        <f aca="false">IF(OR(E652="",D652&lt;&gt;"รายรับ"),0,E652)</f>
        <v>0</v>
      </c>
      <c r="I652" s="21" t="n">
        <f aca="false">IF(OR(E652="",D652&lt;&gt;"รายจ่าย"),0,E652)</f>
        <v>0</v>
      </c>
      <c r="J652" s="21" t="str">
        <f aca="false">IF(E652="","",ตั้งค่า!$B$4+SUM($H$5:H652)-SUM($I$5:I652))</f>
        <v/>
      </c>
      <c r="K652" s="22" t="str">
        <f aca="false">IF(A652="","",MONTH(A652))</f>
        <v/>
      </c>
      <c r="L652" s="22" t="str">
        <f aca="false">IF(A652="","",YEAR(A652))</f>
        <v/>
      </c>
    </row>
    <row r="653" customFormat="false" ht="15" hidden="false" customHeight="false" outlineLevel="0" collapsed="false">
      <c r="A653" s="23"/>
      <c r="B653" s="24"/>
      <c r="C653" s="24"/>
      <c r="D653" s="20" t="str">
        <f aca="false">IF(C653="","",IF(COUNTIF(ตั้งค่า!$A$7:$A$18,C653)&gt;0,"รายรับ",IF(COUNTIF(ตั้งค่า!$C$7:$C$31,C653)&gt;0,"รายจ่าย","ไม่พบหมวดหมู่")))</f>
        <v/>
      </c>
      <c r="E653" s="25"/>
      <c r="F653" s="24"/>
      <c r="G653" s="24"/>
      <c r="H653" s="21" t="n">
        <f aca="false">IF(OR(E653="",D653&lt;&gt;"รายรับ"),0,E653)</f>
        <v>0</v>
      </c>
      <c r="I653" s="21" t="n">
        <f aca="false">IF(OR(E653="",D653&lt;&gt;"รายจ่าย"),0,E653)</f>
        <v>0</v>
      </c>
      <c r="J653" s="21" t="str">
        <f aca="false">IF(E653="","",ตั้งค่า!$B$4+SUM($H$5:H653)-SUM($I$5:I653))</f>
        <v/>
      </c>
      <c r="K653" s="22" t="str">
        <f aca="false">IF(A653="","",MONTH(A653))</f>
        <v/>
      </c>
      <c r="L653" s="22" t="str">
        <f aca="false">IF(A653="","",YEAR(A653))</f>
        <v/>
      </c>
    </row>
    <row r="654" customFormat="false" ht="15" hidden="false" customHeight="false" outlineLevel="0" collapsed="false">
      <c r="A654" s="23"/>
      <c r="B654" s="24"/>
      <c r="C654" s="24"/>
      <c r="D654" s="20" t="str">
        <f aca="false">IF(C654="","",IF(COUNTIF(ตั้งค่า!$A$7:$A$18,C654)&gt;0,"รายรับ",IF(COUNTIF(ตั้งค่า!$C$7:$C$31,C654)&gt;0,"รายจ่าย","ไม่พบหมวดหมู่")))</f>
        <v/>
      </c>
      <c r="E654" s="25"/>
      <c r="F654" s="24"/>
      <c r="G654" s="24"/>
      <c r="H654" s="21" t="n">
        <f aca="false">IF(OR(E654="",D654&lt;&gt;"รายรับ"),0,E654)</f>
        <v>0</v>
      </c>
      <c r="I654" s="21" t="n">
        <f aca="false">IF(OR(E654="",D654&lt;&gt;"รายจ่าย"),0,E654)</f>
        <v>0</v>
      </c>
      <c r="J654" s="21" t="str">
        <f aca="false">IF(E654="","",ตั้งค่า!$B$4+SUM($H$5:H654)-SUM($I$5:I654))</f>
        <v/>
      </c>
      <c r="K654" s="22" t="str">
        <f aca="false">IF(A654="","",MONTH(A654))</f>
        <v/>
      </c>
      <c r="L654" s="22" t="str">
        <f aca="false">IF(A654="","",YEAR(A654))</f>
        <v/>
      </c>
    </row>
    <row r="655" customFormat="false" ht="15" hidden="false" customHeight="false" outlineLevel="0" collapsed="false">
      <c r="A655" s="23"/>
      <c r="B655" s="24"/>
      <c r="C655" s="24"/>
      <c r="D655" s="20" t="str">
        <f aca="false">IF(C655="","",IF(COUNTIF(ตั้งค่า!$A$7:$A$18,C655)&gt;0,"รายรับ",IF(COUNTIF(ตั้งค่า!$C$7:$C$31,C655)&gt;0,"รายจ่าย","ไม่พบหมวดหมู่")))</f>
        <v/>
      </c>
      <c r="E655" s="25"/>
      <c r="F655" s="24"/>
      <c r="G655" s="24"/>
      <c r="H655" s="21" t="n">
        <f aca="false">IF(OR(E655="",D655&lt;&gt;"รายรับ"),0,E655)</f>
        <v>0</v>
      </c>
      <c r="I655" s="21" t="n">
        <f aca="false">IF(OR(E655="",D655&lt;&gt;"รายจ่าย"),0,E655)</f>
        <v>0</v>
      </c>
      <c r="J655" s="21" t="str">
        <f aca="false">IF(E655="","",ตั้งค่า!$B$4+SUM($H$5:H655)-SUM($I$5:I655))</f>
        <v/>
      </c>
      <c r="K655" s="22" t="str">
        <f aca="false">IF(A655="","",MONTH(A655))</f>
        <v/>
      </c>
      <c r="L655" s="22" t="str">
        <f aca="false">IF(A655="","",YEAR(A655))</f>
        <v/>
      </c>
    </row>
    <row r="656" customFormat="false" ht="15" hidden="false" customHeight="false" outlineLevel="0" collapsed="false">
      <c r="A656" s="23"/>
      <c r="B656" s="24"/>
      <c r="C656" s="24"/>
      <c r="D656" s="20" t="str">
        <f aca="false">IF(C656="","",IF(COUNTIF(ตั้งค่า!$A$7:$A$18,C656)&gt;0,"รายรับ",IF(COUNTIF(ตั้งค่า!$C$7:$C$31,C656)&gt;0,"รายจ่าย","ไม่พบหมวดหมู่")))</f>
        <v/>
      </c>
      <c r="E656" s="25"/>
      <c r="F656" s="24"/>
      <c r="G656" s="24"/>
      <c r="H656" s="21" t="n">
        <f aca="false">IF(OR(E656="",D656&lt;&gt;"รายรับ"),0,E656)</f>
        <v>0</v>
      </c>
      <c r="I656" s="21" t="n">
        <f aca="false">IF(OR(E656="",D656&lt;&gt;"รายจ่าย"),0,E656)</f>
        <v>0</v>
      </c>
      <c r="J656" s="21" t="str">
        <f aca="false">IF(E656="","",ตั้งค่า!$B$4+SUM($H$5:H656)-SUM($I$5:I656))</f>
        <v/>
      </c>
      <c r="K656" s="22" t="str">
        <f aca="false">IF(A656="","",MONTH(A656))</f>
        <v/>
      </c>
      <c r="L656" s="22" t="str">
        <f aca="false">IF(A656="","",YEAR(A656))</f>
        <v/>
      </c>
    </row>
    <row r="657" customFormat="false" ht="15" hidden="false" customHeight="false" outlineLevel="0" collapsed="false">
      <c r="A657" s="23"/>
      <c r="B657" s="24"/>
      <c r="C657" s="24"/>
      <c r="D657" s="20" t="str">
        <f aca="false">IF(C657="","",IF(COUNTIF(ตั้งค่า!$A$7:$A$18,C657)&gt;0,"รายรับ",IF(COUNTIF(ตั้งค่า!$C$7:$C$31,C657)&gt;0,"รายจ่าย","ไม่พบหมวดหมู่")))</f>
        <v/>
      </c>
      <c r="E657" s="25"/>
      <c r="F657" s="24"/>
      <c r="G657" s="24"/>
      <c r="H657" s="21" t="n">
        <f aca="false">IF(OR(E657="",D657&lt;&gt;"รายรับ"),0,E657)</f>
        <v>0</v>
      </c>
      <c r="I657" s="21" t="n">
        <f aca="false">IF(OR(E657="",D657&lt;&gt;"รายจ่าย"),0,E657)</f>
        <v>0</v>
      </c>
      <c r="J657" s="21" t="str">
        <f aca="false">IF(E657="","",ตั้งค่า!$B$4+SUM($H$5:H657)-SUM($I$5:I657))</f>
        <v/>
      </c>
      <c r="K657" s="22" t="str">
        <f aca="false">IF(A657="","",MONTH(A657))</f>
        <v/>
      </c>
      <c r="L657" s="22" t="str">
        <f aca="false">IF(A657="","",YEAR(A657))</f>
        <v/>
      </c>
    </row>
    <row r="658" customFormat="false" ht="15" hidden="false" customHeight="false" outlineLevel="0" collapsed="false">
      <c r="A658" s="23"/>
      <c r="B658" s="24"/>
      <c r="C658" s="24"/>
      <c r="D658" s="20" t="str">
        <f aca="false">IF(C658="","",IF(COUNTIF(ตั้งค่า!$A$7:$A$18,C658)&gt;0,"รายรับ",IF(COUNTIF(ตั้งค่า!$C$7:$C$31,C658)&gt;0,"รายจ่าย","ไม่พบหมวดหมู่")))</f>
        <v/>
      </c>
      <c r="E658" s="25"/>
      <c r="F658" s="24"/>
      <c r="G658" s="24"/>
      <c r="H658" s="21" t="n">
        <f aca="false">IF(OR(E658="",D658&lt;&gt;"รายรับ"),0,E658)</f>
        <v>0</v>
      </c>
      <c r="I658" s="21" t="n">
        <f aca="false">IF(OR(E658="",D658&lt;&gt;"รายจ่าย"),0,E658)</f>
        <v>0</v>
      </c>
      <c r="J658" s="21" t="str">
        <f aca="false">IF(E658="","",ตั้งค่า!$B$4+SUM($H$5:H658)-SUM($I$5:I658))</f>
        <v/>
      </c>
      <c r="K658" s="22" t="str">
        <f aca="false">IF(A658="","",MONTH(A658))</f>
        <v/>
      </c>
      <c r="L658" s="22" t="str">
        <f aca="false">IF(A658="","",YEAR(A658))</f>
        <v/>
      </c>
    </row>
    <row r="659" customFormat="false" ht="15" hidden="false" customHeight="false" outlineLevel="0" collapsed="false">
      <c r="A659" s="23"/>
      <c r="B659" s="24"/>
      <c r="C659" s="24"/>
      <c r="D659" s="20" t="str">
        <f aca="false">IF(C659="","",IF(COUNTIF(ตั้งค่า!$A$7:$A$18,C659)&gt;0,"รายรับ",IF(COUNTIF(ตั้งค่า!$C$7:$C$31,C659)&gt;0,"รายจ่าย","ไม่พบหมวดหมู่")))</f>
        <v/>
      </c>
      <c r="E659" s="25"/>
      <c r="F659" s="24"/>
      <c r="G659" s="24"/>
      <c r="H659" s="21" t="n">
        <f aca="false">IF(OR(E659="",D659&lt;&gt;"รายรับ"),0,E659)</f>
        <v>0</v>
      </c>
      <c r="I659" s="21" t="n">
        <f aca="false">IF(OR(E659="",D659&lt;&gt;"รายจ่าย"),0,E659)</f>
        <v>0</v>
      </c>
      <c r="J659" s="21" t="str">
        <f aca="false">IF(E659="","",ตั้งค่า!$B$4+SUM($H$5:H659)-SUM($I$5:I659))</f>
        <v/>
      </c>
      <c r="K659" s="22" t="str">
        <f aca="false">IF(A659="","",MONTH(A659))</f>
        <v/>
      </c>
      <c r="L659" s="22" t="str">
        <f aca="false">IF(A659="","",YEAR(A659))</f>
        <v/>
      </c>
    </row>
    <row r="660" customFormat="false" ht="15" hidden="false" customHeight="false" outlineLevel="0" collapsed="false">
      <c r="A660" s="23"/>
      <c r="B660" s="24"/>
      <c r="C660" s="24"/>
      <c r="D660" s="20" t="str">
        <f aca="false">IF(C660="","",IF(COUNTIF(ตั้งค่า!$A$7:$A$18,C660)&gt;0,"รายรับ",IF(COUNTIF(ตั้งค่า!$C$7:$C$31,C660)&gt;0,"รายจ่าย","ไม่พบหมวดหมู่")))</f>
        <v/>
      </c>
      <c r="E660" s="25"/>
      <c r="F660" s="24"/>
      <c r="G660" s="24"/>
      <c r="H660" s="21" t="n">
        <f aca="false">IF(OR(E660="",D660&lt;&gt;"รายรับ"),0,E660)</f>
        <v>0</v>
      </c>
      <c r="I660" s="21" t="n">
        <f aca="false">IF(OR(E660="",D660&lt;&gt;"รายจ่าย"),0,E660)</f>
        <v>0</v>
      </c>
      <c r="J660" s="21" t="str">
        <f aca="false">IF(E660="","",ตั้งค่า!$B$4+SUM($H$5:H660)-SUM($I$5:I660))</f>
        <v/>
      </c>
      <c r="K660" s="22" t="str">
        <f aca="false">IF(A660="","",MONTH(A660))</f>
        <v/>
      </c>
      <c r="L660" s="22" t="str">
        <f aca="false">IF(A660="","",YEAR(A660))</f>
        <v/>
      </c>
    </row>
    <row r="661" customFormat="false" ht="15" hidden="false" customHeight="false" outlineLevel="0" collapsed="false">
      <c r="A661" s="23"/>
      <c r="B661" s="24"/>
      <c r="C661" s="24"/>
      <c r="D661" s="20" t="str">
        <f aca="false">IF(C661="","",IF(COUNTIF(ตั้งค่า!$A$7:$A$18,C661)&gt;0,"รายรับ",IF(COUNTIF(ตั้งค่า!$C$7:$C$31,C661)&gt;0,"รายจ่าย","ไม่พบหมวดหมู่")))</f>
        <v/>
      </c>
      <c r="E661" s="25"/>
      <c r="F661" s="24"/>
      <c r="G661" s="24"/>
      <c r="H661" s="21" t="n">
        <f aca="false">IF(OR(E661="",D661&lt;&gt;"รายรับ"),0,E661)</f>
        <v>0</v>
      </c>
      <c r="I661" s="21" t="n">
        <f aca="false">IF(OR(E661="",D661&lt;&gt;"รายจ่าย"),0,E661)</f>
        <v>0</v>
      </c>
      <c r="J661" s="21" t="str">
        <f aca="false">IF(E661="","",ตั้งค่า!$B$4+SUM($H$5:H661)-SUM($I$5:I661))</f>
        <v/>
      </c>
      <c r="K661" s="22" t="str">
        <f aca="false">IF(A661="","",MONTH(A661))</f>
        <v/>
      </c>
      <c r="L661" s="22" t="str">
        <f aca="false">IF(A661="","",YEAR(A661))</f>
        <v/>
      </c>
    </row>
    <row r="662" customFormat="false" ht="15" hidden="false" customHeight="false" outlineLevel="0" collapsed="false">
      <c r="A662" s="23"/>
      <c r="B662" s="24"/>
      <c r="C662" s="24"/>
      <c r="D662" s="20" t="str">
        <f aca="false">IF(C662="","",IF(COUNTIF(ตั้งค่า!$A$7:$A$18,C662)&gt;0,"รายรับ",IF(COUNTIF(ตั้งค่า!$C$7:$C$31,C662)&gt;0,"รายจ่าย","ไม่พบหมวดหมู่")))</f>
        <v/>
      </c>
      <c r="E662" s="25"/>
      <c r="F662" s="24"/>
      <c r="G662" s="24"/>
      <c r="H662" s="21" t="n">
        <f aca="false">IF(OR(E662="",D662&lt;&gt;"รายรับ"),0,E662)</f>
        <v>0</v>
      </c>
      <c r="I662" s="21" t="n">
        <f aca="false">IF(OR(E662="",D662&lt;&gt;"รายจ่าย"),0,E662)</f>
        <v>0</v>
      </c>
      <c r="J662" s="21" t="str">
        <f aca="false">IF(E662="","",ตั้งค่า!$B$4+SUM($H$5:H662)-SUM($I$5:I662))</f>
        <v/>
      </c>
      <c r="K662" s="22" t="str">
        <f aca="false">IF(A662="","",MONTH(A662))</f>
        <v/>
      </c>
      <c r="L662" s="22" t="str">
        <f aca="false">IF(A662="","",YEAR(A662))</f>
        <v/>
      </c>
    </row>
    <row r="663" customFormat="false" ht="15" hidden="false" customHeight="false" outlineLevel="0" collapsed="false">
      <c r="A663" s="23"/>
      <c r="B663" s="24"/>
      <c r="C663" s="24"/>
      <c r="D663" s="20" t="str">
        <f aca="false">IF(C663="","",IF(COUNTIF(ตั้งค่า!$A$7:$A$18,C663)&gt;0,"รายรับ",IF(COUNTIF(ตั้งค่า!$C$7:$C$31,C663)&gt;0,"รายจ่าย","ไม่พบหมวดหมู่")))</f>
        <v/>
      </c>
      <c r="E663" s="25"/>
      <c r="F663" s="24"/>
      <c r="G663" s="24"/>
      <c r="H663" s="21" t="n">
        <f aca="false">IF(OR(E663="",D663&lt;&gt;"รายรับ"),0,E663)</f>
        <v>0</v>
      </c>
      <c r="I663" s="21" t="n">
        <f aca="false">IF(OR(E663="",D663&lt;&gt;"รายจ่าย"),0,E663)</f>
        <v>0</v>
      </c>
      <c r="J663" s="21" t="str">
        <f aca="false">IF(E663="","",ตั้งค่า!$B$4+SUM($H$5:H663)-SUM($I$5:I663))</f>
        <v/>
      </c>
      <c r="K663" s="22" t="str">
        <f aca="false">IF(A663="","",MONTH(A663))</f>
        <v/>
      </c>
      <c r="L663" s="22" t="str">
        <f aca="false">IF(A663="","",YEAR(A663))</f>
        <v/>
      </c>
    </row>
    <row r="664" customFormat="false" ht="15" hidden="false" customHeight="false" outlineLevel="0" collapsed="false">
      <c r="A664" s="23"/>
      <c r="B664" s="24"/>
      <c r="C664" s="24"/>
      <c r="D664" s="20" t="str">
        <f aca="false">IF(C664="","",IF(COUNTIF(ตั้งค่า!$A$7:$A$18,C664)&gt;0,"รายรับ",IF(COUNTIF(ตั้งค่า!$C$7:$C$31,C664)&gt;0,"รายจ่าย","ไม่พบหมวดหมู่")))</f>
        <v/>
      </c>
      <c r="E664" s="25"/>
      <c r="F664" s="24"/>
      <c r="G664" s="24"/>
      <c r="H664" s="21" t="n">
        <f aca="false">IF(OR(E664="",D664&lt;&gt;"รายรับ"),0,E664)</f>
        <v>0</v>
      </c>
      <c r="I664" s="21" t="n">
        <f aca="false">IF(OR(E664="",D664&lt;&gt;"รายจ่าย"),0,E664)</f>
        <v>0</v>
      </c>
      <c r="J664" s="21" t="str">
        <f aca="false">IF(E664="","",ตั้งค่า!$B$4+SUM($H$5:H664)-SUM($I$5:I664))</f>
        <v/>
      </c>
      <c r="K664" s="22" t="str">
        <f aca="false">IF(A664="","",MONTH(A664))</f>
        <v/>
      </c>
      <c r="L664" s="22" t="str">
        <f aca="false">IF(A664="","",YEAR(A664))</f>
        <v/>
      </c>
    </row>
    <row r="665" customFormat="false" ht="15" hidden="false" customHeight="false" outlineLevel="0" collapsed="false">
      <c r="A665" s="23"/>
      <c r="B665" s="24"/>
      <c r="C665" s="24"/>
      <c r="D665" s="20" t="str">
        <f aca="false">IF(C665="","",IF(COUNTIF(ตั้งค่า!$A$7:$A$18,C665)&gt;0,"รายรับ",IF(COUNTIF(ตั้งค่า!$C$7:$C$31,C665)&gt;0,"รายจ่าย","ไม่พบหมวดหมู่")))</f>
        <v/>
      </c>
      <c r="E665" s="25"/>
      <c r="F665" s="24"/>
      <c r="G665" s="24"/>
      <c r="H665" s="21" t="n">
        <f aca="false">IF(OR(E665="",D665&lt;&gt;"รายรับ"),0,E665)</f>
        <v>0</v>
      </c>
      <c r="I665" s="21" t="n">
        <f aca="false">IF(OR(E665="",D665&lt;&gt;"รายจ่าย"),0,E665)</f>
        <v>0</v>
      </c>
      <c r="J665" s="21" t="str">
        <f aca="false">IF(E665="","",ตั้งค่า!$B$4+SUM($H$5:H665)-SUM($I$5:I665))</f>
        <v/>
      </c>
      <c r="K665" s="22" t="str">
        <f aca="false">IF(A665="","",MONTH(A665))</f>
        <v/>
      </c>
      <c r="L665" s="22" t="str">
        <f aca="false">IF(A665="","",YEAR(A665))</f>
        <v/>
      </c>
    </row>
    <row r="666" customFormat="false" ht="15" hidden="false" customHeight="false" outlineLevel="0" collapsed="false">
      <c r="A666" s="23"/>
      <c r="B666" s="24"/>
      <c r="C666" s="24"/>
      <c r="D666" s="20" t="str">
        <f aca="false">IF(C666="","",IF(COUNTIF(ตั้งค่า!$A$7:$A$18,C666)&gt;0,"รายรับ",IF(COUNTIF(ตั้งค่า!$C$7:$C$31,C666)&gt;0,"รายจ่าย","ไม่พบหมวดหมู่")))</f>
        <v/>
      </c>
      <c r="E666" s="25"/>
      <c r="F666" s="24"/>
      <c r="G666" s="24"/>
      <c r="H666" s="21" t="n">
        <f aca="false">IF(OR(E666="",D666&lt;&gt;"รายรับ"),0,E666)</f>
        <v>0</v>
      </c>
      <c r="I666" s="21" t="n">
        <f aca="false">IF(OR(E666="",D666&lt;&gt;"รายจ่าย"),0,E666)</f>
        <v>0</v>
      </c>
      <c r="J666" s="21" t="str">
        <f aca="false">IF(E666="","",ตั้งค่า!$B$4+SUM($H$5:H666)-SUM($I$5:I666))</f>
        <v/>
      </c>
      <c r="K666" s="22" t="str">
        <f aca="false">IF(A666="","",MONTH(A666))</f>
        <v/>
      </c>
      <c r="L666" s="22" t="str">
        <f aca="false">IF(A666="","",YEAR(A666))</f>
        <v/>
      </c>
    </row>
    <row r="667" customFormat="false" ht="15" hidden="false" customHeight="false" outlineLevel="0" collapsed="false">
      <c r="A667" s="23"/>
      <c r="B667" s="24"/>
      <c r="C667" s="24"/>
      <c r="D667" s="20" t="str">
        <f aca="false">IF(C667="","",IF(COUNTIF(ตั้งค่า!$A$7:$A$18,C667)&gt;0,"รายรับ",IF(COUNTIF(ตั้งค่า!$C$7:$C$31,C667)&gt;0,"รายจ่าย","ไม่พบหมวดหมู่")))</f>
        <v/>
      </c>
      <c r="E667" s="25"/>
      <c r="F667" s="24"/>
      <c r="G667" s="24"/>
      <c r="H667" s="21" t="n">
        <f aca="false">IF(OR(E667="",D667&lt;&gt;"รายรับ"),0,E667)</f>
        <v>0</v>
      </c>
      <c r="I667" s="21" t="n">
        <f aca="false">IF(OR(E667="",D667&lt;&gt;"รายจ่าย"),0,E667)</f>
        <v>0</v>
      </c>
      <c r="J667" s="21" t="str">
        <f aca="false">IF(E667="","",ตั้งค่า!$B$4+SUM($H$5:H667)-SUM($I$5:I667))</f>
        <v/>
      </c>
      <c r="K667" s="22" t="str">
        <f aca="false">IF(A667="","",MONTH(A667))</f>
        <v/>
      </c>
      <c r="L667" s="22" t="str">
        <f aca="false">IF(A667="","",YEAR(A667))</f>
        <v/>
      </c>
    </row>
    <row r="668" customFormat="false" ht="15" hidden="false" customHeight="false" outlineLevel="0" collapsed="false">
      <c r="A668" s="23"/>
      <c r="B668" s="24"/>
      <c r="C668" s="24"/>
      <c r="D668" s="20" t="str">
        <f aca="false">IF(C668="","",IF(COUNTIF(ตั้งค่า!$A$7:$A$18,C668)&gt;0,"รายรับ",IF(COUNTIF(ตั้งค่า!$C$7:$C$31,C668)&gt;0,"รายจ่าย","ไม่พบหมวดหมู่")))</f>
        <v/>
      </c>
      <c r="E668" s="25"/>
      <c r="F668" s="24"/>
      <c r="G668" s="24"/>
      <c r="H668" s="21" t="n">
        <f aca="false">IF(OR(E668="",D668&lt;&gt;"รายรับ"),0,E668)</f>
        <v>0</v>
      </c>
      <c r="I668" s="21" t="n">
        <f aca="false">IF(OR(E668="",D668&lt;&gt;"รายจ่าย"),0,E668)</f>
        <v>0</v>
      </c>
      <c r="J668" s="21" t="str">
        <f aca="false">IF(E668="","",ตั้งค่า!$B$4+SUM($H$5:H668)-SUM($I$5:I668))</f>
        <v/>
      </c>
      <c r="K668" s="22" t="str">
        <f aca="false">IF(A668="","",MONTH(A668))</f>
        <v/>
      </c>
      <c r="L668" s="22" t="str">
        <f aca="false">IF(A668="","",YEAR(A668))</f>
        <v/>
      </c>
    </row>
    <row r="669" customFormat="false" ht="15" hidden="false" customHeight="false" outlineLevel="0" collapsed="false">
      <c r="A669" s="23"/>
      <c r="B669" s="24"/>
      <c r="C669" s="24"/>
      <c r="D669" s="20" t="str">
        <f aca="false">IF(C669="","",IF(COUNTIF(ตั้งค่า!$A$7:$A$18,C669)&gt;0,"รายรับ",IF(COUNTIF(ตั้งค่า!$C$7:$C$31,C669)&gt;0,"รายจ่าย","ไม่พบหมวดหมู่")))</f>
        <v/>
      </c>
      <c r="E669" s="25"/>
      <c r="F669" s="24"/>
      <c r="G669" s="24"/>
      <c r="H669" s="21" t="n">
        <f aca="false">IF(OR(E669="",D669&lt;&gt;"รายรับ"),0,E669)</f>
        <v>0</v>
      </c>
      <c r="I669" s="21" t="n">
        <f aca="false">IF(OR(E669="",D669&lt;&gt;"รายจ่าย"),0,E669)</f>
        <v>0</v>
      </c>
      <c r="J669" s="21" t="str">
        <f aca="false">IF(E669="","",ตั้งค่า!$B$4+SUM($H$5:H669)-SUM($I$5:I669))</f>
        <v/>
      </c>
      <c r="K669" s="22" t="str">
        <f aca="false">IF(A669="","",MONTH(A669))</f>
        <v/>
      </c>
      <c r="L669" s="22" t="str">
        <f aca="false">IF(A669="","",YEAR(A669))</f>
        <v/>
      </c>
    </row>
    <row r="670" customFormat="false" ht="15" hidden="false" customHeight="false" outlineLevel="0" collapsed="false">
      <c r="A670" s="23"/>
      <c r="B670" s="24"/>
      <c r="C670" s="24"/>
      <c r="D670" s="20" t="str">
        <f aca="false">IF(C670="","",IF(COUNTIF(ตั้งค่า!$A$7:$A$18,C670)&gt;0,"รายรับ",IF(COUNTIF(ตั้งค่า!$C$7:$C$31,C670)&gt;0,"รายจ่าย","ไม่พบหมวดหมู่")))</f>
        <v/>
      </c>
      <c r="E670" s="25"/>
      <c r="F670" s="24"/>
      <c r="G670" s="24"/>
      <c r="H670" s="21" t="n">
        <f aca="false">IF(OR(E670="",D670&lt;&gt;"รายรับ"),0,E670)</f>
        <v>0</v>
      </c>
      <c r="I670" s="21" t="n">
        <f aca="false">IF(OR(E670="",D670&lt;&gt;"รายจ่าย"),0,E670)</f>
        <v>0</v>
      </c>
      <c r="J670" s="21" t="str">
        <f aca="false">IF(E670="","",ตั้งค่า!$B$4+SUM($H$5:H670)-SUM($I$5:I670))</f>
        <v/>
      </c>
      <c r="K670" s="22" t="str">
        <f aca="false">IF(A670="","",MONTH(A670))</f>
        <v/>
      </c>
      <c r="L670" s="22" t="str">
        <f aca="false">IF(A670="","",YEAR(A670))</f>
        <v/>
      </c>
    </row>
    <row r="671" customFormat="false" ht="15" hidden="false" customHeight="false" outlineLevel="0" collapsed="false">
      <c r="A671" s="23"/>
      <c r="B671" s="24"/>
      <c r="C671" s="24"/>
      <c r="D671" s="20" t="str">
        <f aca="false">IF(C671="","",IF(COUNTIF(ตั้งค่า!$A$7:$A$18,C671)&gt;0,"รายรับ",IF(COUNTIF(ตั้งค่า!$C$7:$C$31,C671)&gt;0,"รายจ่าย","ไม่พบหมวดหมู่")))</f>
        <v/>
      </c>
      <c r="E671" s="25"/>
      <c r="F671" s="24"/>
      <c r="G671" s="24"/>
      <c r="H671" s="21" t="n">
        <f aca="false">IF(OR(E671="",D671&lt;&gt;"รายรับ"),0,E671)</f>
        <v>0</v>
      </c>
      <c r="I671" s="21" t="n">
        <f aca="false">IF(OR(E671="",D671&lt;&gt;"รายจ่าย"),0,E671)</f>
        <v>0</v>
      </c>
      <c r="J671" s="21" t="str">
        <f aca="false">IF(E671="","",ตั้งค่า!$B$4+SUM($H$5:H671)-SUM($I$5:I671))</f>
        <v/>
      </c>
      <c r="K671" s="22" t="str">
        <f aca="false">IF(A671="","",MONTH(A671))</f>
        <v/>
      </c>
      <c r="L671" s="22" t="str">
        <f aca="false">IF(A671="","",YEAR(A671))</f>
        <v/>
      </c>
    </row>
    <row r="672" customFormat="false" ht="15" hidden="false" customHeight="false" outlineLevel="0" collapsed="false">
      <c r="A672" s="23"/>
      <c r="B672" s="24"/>
      <c r="C672" s="24"/>
      <c r="D672" s="20" t="str">
        <f aca="false">IF(C672="","",IF(COUNTIF(ตั้งค่า!$A$7:$A$18,C672)&gt;0,"รายรับ",IF(COUNTIF(ตั้งค่า!$C$7:$C$31,C672)&gt;0,"รายจ่าย","ไม่พบหมวดหมู่")))</f>
        <v/>
      </c>
      <c r="E672" s="25"/>
      <c r="F672" s="24"/>
      <c r="G672" s="24"/>
      <c r="H672" s="21" t="n">
        <f aca="false">IF(OR(E672="",D672&lt;&gt;"รายรับ"),0,E672)</f>
        <v>0</v>
      </c>
      <c r="I672" s="21" t="n">
        <f aca="false">IF(OR(E672="",D672&lt;&gt;"รายจ่าย"),0,E672)</f>
        <v>0</v>
      </c>
      <c r="J672" s="21" t="str">
        <f aca="false">IF(E672="","",ตั้งค่า!$B$4+SUM($H$5:H672)-SUM($I$5:I672))</f>
        <v/>
      </c>
      <c r="K672" s="22" t="str">
        <f aca="false">IF(A672="","",MONTH(A672))</f>
        <v/>
      </c>
      <c r="L672" s="22" t="str">
        <f aca="false">IF(A672="","",YEAR(A672))</f>
        <v/>
      </c>
    </row>
    <row r="673" customFormat="false" ht="15" hidden="false" customHeight="false" outlineLevel="0" collapsed="false">
      <c r="A673" s="23"/>
      <c r="B673" s="24"/>
      <c r="C673" s="24"/>
      <c r="D673" s="20" t="str">
        <f aca="false">IF(C673="","",IF(COUNTIF(ตั้งค่า!$A$7:$A$18,C673)&gt;0,"รายรับ",IF(COUNTIF(ตั้งค่า!$C$7:$C$31,C673)&gt;0,"รายจ่าย","ไม่พบหมวดหมู่")))</f>
        <v/>
      </c>
      <c r="E673" s="25"/>
      <c r="F673" s="24"/>
      <c r="G673" s="24"/>
      <c r="H673" s="21" t="n">
        <f aca="false">IF(OR(E673="",D673&lt;&gt;"รายรับ"),0,E673)</f>
        <v>0</v>
      </c>
      <c r="I673" s="21" t="n">
        <f aca="false">IF(OR(E673="",D673&lt;&gt;"รายจ่าย"),0,E673)</f>
        <v>0</v>
      </c>
      <c r="J673" s="21" t="str">
        <f aca="false">IF(E673="","",ตั้งค่า!$B$4+SUM($H$5:H673)-SUM($I$5:I673))</f>
        <v/>
      </c>
      <c r="K673" s="22" t="str">
        <f aca="false">IF(A673="","",MONTH(A673))</f>
        <v/>
      </c>
      <c r="L673" s="22" t="str">
        <f aca="false">IF(A673="","",YEAR(A673))</f>
        <v/>
      </c>
    </row>
    <row r="674" customFormat="false" ht="15" hidden="false" customHeight="false" outlineLevel="0" collapsed="false">
      <c r="A674" s="23"/>
      <c r="B674" s="24"/>
      <c r="C674" s="24"/>
      <c r="D674" s="20" t="str">
        <f aca="false">IF(C674="","",IF(COUNTIF(ตั้งค่า!$A$7:$A$18,C674)&gt;0,"รายรับ",IF(COUNTIF(ตั้งค่า!$C$7:$C$31,C674)&gt;0,"รายจ่าย","ไม่พบหมวดหมู่")))</f>
        <v/>
      </c>
      <c r="E674" s="25"/>
      <c r="F674" s="24"/>
      <c r="G674" s="24"/>
      <c r="H674" s="21" t="n">
        <f aca="false">IF(OR(E674="",D674&lt;&gt;"รายรับ"),0,E674)</f>
        <v>0</v>
      </c>
      <c r="I674" s="21" t="n">
        <f aca="false">IF(OR(E674="",D674&lt;&gt;"รายจ่าย"),0,E674)</f>
        <v>0</v>
      </c>
      <c r="J674" s="21" t="str">
        <f aca="false">IF(E674="","",ตั้งค่า!$B$4+SUM($H$5:H674)-SUM($I$5:I674))</f>
        <v/>
      </c>
      <c r="K674" s="22" t="str">
        <f aca="false">IF(A674="","",MONTH(A674))</f>
        <v/>
      </c>
      <c r="L674" s="22" t="str">
        <f aca="false">IF(A674="","",YEAR(A674))</f>
        <v/>
      </c>
    </row>
    <row r="675" customFormat="false" ht="15" hidden="false" customHeight="false" outlineLevel="0" collapsed="false">
      <c r="A675" s="23"/>
      <c r="B675" s="24"/>
      <c r="C675" s="24"/>
      <c r="D675" s="20" t="str">
        <f aca="false">IF(C675="","",IF(COUNTIF(ตั้งค่า!$A$7:$A$18,C675)&gt;0,"รายรับ",IF(COUNTIF(ตั้งค่า!$C$7:$C$31,C675)&gt;0,"รายจ่าย","ไม่พบหมวดหมู่")))</f>
        <v/>
      </c>
      <c r="E675" s="25"/>
      <c r="F675" s="24"/>
      <c r="G675" s="24"/>
      <c r="H675" s="21" t="n">
        <f aca="false">IF(OR(E675="",D675&lt;&gt;"รายรับ"),0,E675)</f>
        <v>0</v>
      </c>
      <c r="I675" s="21" t="n">
        <f aca="false">IF(OR(E675="",D675&lt;&gt;"รายจ่าย"),0,E675)</f>
        <v>0</v>
      </c>
      <c r="J675" s="21" t="str">
        <f aca="false">IF(E675="","",ตั้งค่า!$B$4+SUM($H$5:H675)-SUM($I$5:I675))</f>
        <v/>
      </c>
      <c r="K675" s="22" t="str">
        <f aca="false">IF(A675="","",MONTH(A675))</f>
        <v/>
      </c>
      <c r="L675" s="22" t="str">
        <f aca="false">IF(A675="","",YEAR(A675))</f>
        <v/>
      </c>
    </row>
    <row r="676" customFormat="false" ht="15" hidden="false" customHeight="false" outlineLevel="0" collapsed="false">
      <c r="A676" s="23"/>
      <c r="B676" s="24"/>
      <c r="C676" s="24"/>
      <c r="D676" s="20" t="str">
        <f aca="false">IF(C676="","",IF(COUNTIF(ตั้งค่า!$A$7:$A$18,C676)&gt;0,"รายรับ",IF(COUNTIF(ตั้งค่า!$C$7:$C$31,C676)&gt;0,"รายจ่าย","ไม่พบหมวดหมู่")))</f>
        <v/>
      </c>
      <c r="E676" s="25"/>
      <c r="F676" s="24"/>
      <c r="G676" s="24"/>
      <c r="H676" s="21" t="n">
        <f aca="false">IF(OR(E676="",D676&lt;&gt;"รายรับ"),0,E676)</f>
        <v>0</v>
      </c>
      <c r="I676" s="21" t="n">
        <f aca="false">IF(OR(E676="",D676&lt;&gt;"รายจ่าย"),0,E676)</f>
        <v>0</v>
      </c>
      <c r="J676" s="21" t="str">
        <f aca="false">IF(E676="","",ตั้งค่า!$B$4+SUM($H$5:H676)-SUM($I$5:I676))</f>
        <v/>
      </c>
      <c r="K676" s="22" t="str">
        <f aca="false">IF(A676="","",MONTH(A676))</f>
        <v/>
      </c>
      <c r="L676" s="22" t="str">
        <f aca="false">IF(A676="","",YEAR(A676))</f>
        <v/>
      </c>
    </row>
    <row r="677" customFormat="false" ht="15" hidden="false" customHeight="false" outlineLevel="0" collapsed="false">
      <c r="A677" s="23"/>
      <c r="B677" s="24"/>
      <c r="C677" s="24"/>
      <c r="D677" s="20" t="str">
        <f aca="false">IF(C677="","",IF(COUNTIF(ตั้งค่า!$A$7:$A$18,C677)&gt;0,"รายรับ",IF(COUNTIF(ตั้งค่า!$C$7:$C$31,C677)&gt;0,"รายจ่าย","ไม่พบหมวดหมู่")))</f>
        <v/>
      </c>
      <c r="E677" s="25"/>
      <c r="F677" s="24"/>
      <c r="G677" s="24"/>
      <c r="H677" s="21" t="n">
        <f aca="false">IF(OR(E677="",D677&lt;&gt;"รายรับ"),0,E677)</f>
        <v>0</v>
      </c>
      <c r="I677" s="21" t="n">
        <f aca="false">IF(OR(E677="",D677&lt;&gt;"รายจ่าย"),0,E677)</f>
        <v>0</v>
      </c>
      <c r="J677" s="21" t="str">
        <f aca="false">IF(E677="","",ตั้งค่า!$B$4+SUM($H$5:H677)-SUM($I$5:I677))</f>
        <v/>
      </c>
      <c r="K677" s="22" t="str">
        <f aca="false">IF(A677="","",MONTH(A677))</f>
        <v/>
      </c>
      <c r="L677" s="22" t="str">
        <f aca="false">IF(A677="","",YEAR(A677))</f>
        <v/>
      </c>
    </row>
    <row r="678" customFormat="false" ht="15" hidden="false" customHeight="false" outlineLevel="0" collapsed="false">
      <c r="A678" s="23"/>
      <c r="B678" s="24"/>
      <c r="C678" s="24"/>
      <c r="D678" s="20" t="str">
        <f aca="false">IF(C678="","",IF(COUNTIF(ตั้งค่า!$A$7:$A$18,C678)&gt;0,"รายรับ",IF(COUNTIF(ตั้งค่า!$C$7:$C$31,C678)&gt;0,"รายจ่าย","ไม่พบหมวดหมู่")))</f>
        <v/>
      </c>
      <c r="E678" s="25"/>
      <c r="F678" s="24"/>
      <c r="G678" s="24"/>
      <c r="H678" s="21" t="n">
        <f aca="false">IF(OR(E678="",D678&lt;&gt;"รายรับ"),0,E678)</f>
        <v>0</v>
      </c>
      <c r="I678" s="21" t="n">
        <f aca="false">IF(OR(E678="",D678&lt;&gt;"รายจ่าย"),0,E678)</f>
        <v>0</v>
      </c>
      <c r="J678" s="21" t="str">
        <f aca="false">IF(E678="","",ตั้งค่า!$B$4+SUM($H$5:H678)-SUM($I$5:I678))</f>
        <v/>
      </c>
      <c r="K678" s="22" t="str">
        <f aca="false">IF(A678="","",MONTH(A678))</f>
        <v/>
      </c>
      <c r="L678" s="22" t="str">
        <f aca="false">IF(A678="","",YEAR(A678))</f>
        <v/>
      </c>
    </row>
    <row r="679" customFormat="false" ht="15" hidden="false" customHeight="false" outlineLevel="0" collapsed="false">
      <c r="A679" s="23"/>
      <c r="B679" s="24"/>
      <c r="C679" s="24"/>
      <c r="D679" s="20" t="str">
        <f aca="false">IF(C679="","",IF(COUNTIF(ตั้งค่า!$A$7:$A$18,C679)&gt;0,"รายรับ",IF(COUNTIF(ตั้งค่า!$C$7:$C$31,C679)&gt;0,"รายจ่าย","ไม่พบหมวดหมู่")))</f>
        <v/>
      </c>
      <c r="E679" s="25"/>
      <c r="F679" s="24"/>
      <c r="G679" s="24"/>
      <c r="H679" s="21" t="n">
        <f aca="false">IF(OR(E679="",D679&lt;&gt;"รายรับ"),0,E679)</f>
        <v>0</v>
      </c>
      <c r="I679" s="21" t="n">
        <f aca="false">IF(OR(E679="",D679&lt;&gt;"รายจ่าย"),0,E679)</f>
        <v>0</v>
      </c>
      <c r="J679" s="21" t="str">
        <f aca="false">IF(E679="","",ตั้งค่า!$B$4+SUM($H$5:H679)-SUM($I$5:I679))</f>
        <v/>
      </c>
      <c r="K679" s="22" t="str">
        <f aca="false">IF(A679="","",MONTH(A679))</f>
        <v/>
      </c>
      <c r="L679" s="22" t="str">
        <f aca="false">IF(A679="","",YEAR(A679))</f>
        <v/>
      </c>
    </row>
    <row r="680" customFormat="false" ht="15" hidden="false" customHeight="false" outlineLevel="0" collapsed="false">
      <c r="A680" s="23"/>
      <c r="B680" s="24"/>
      <c r="C680" s="24"/>
      <c r="D680" s="20" t="str">
        <f aca="false">IF(C680="","",IF(COUNTIF(ตั้งค่า!$A$7:$A$18,C680)&gt;0,"รายรับ",IF(COUNTIF(ตั้งค่า!$C$7:$C$31,C680)&gt;0,"รายจ่าย","ไม่พบหมวดหมู่")))</f>
        <v/>
      </c>
      <c r="E680" s="25"/>
      <c r="F680" s="24"/>
      <c r="G680" s="24"/>
      <c r="H680" s="21" t="n">
        <f aca="false">IF(OR(E680="",D680&lt;&gt;"รายรับ"),0,E680)</f>
        <v>0</v>
      </c>
      <c r="I680" s="21" t="n">
        <f aca="false">IF(OR(E680="",D680&lt;&gt;"รายจ่าย"),0,E680)</f>
        <v>0</v>
      </c>
      <c r="J680" s="21" t="str">
        <f aca="false">IF(E680="","",ตั้งค่า!$B$4+SUM($H$5:H680)-SUM($I$5:I680))</f>
        <v/>
      </c>
      <c r="K680" s="22" t="str">
        <f aca="false">IF(A680="","",MONTH(A680))</f>
        <v/>
      </c>
      <c r="L680" s="22" t="str">
        <f aca="false">IF(A680="","",YEAR(A680))</f>
        <v/>
      </c>
    </row>
    <row r="681" customFormat="false" ht="15" hidden="false" customHeight="false" outlineLevel="0" collapsed="false">
      <c r="A681" s="23"/>
      <c r="B681" s="24"/>
      <c r="C681" s="24"/>
      <c r="D681" s="20" t="str">
        <f aca="false">IF(C681="","",IF(COUNTIF(ตั้งค่า!$A$7:$A$18,C681)&gt;0,"รายรับ",IF(COUNTIF(ตั้งค่า!$C$7:$C$31,C681)&gt;0,"รายจ่าย","ไม่พบหมวดหมู่")))</f>
        <v/>
      </c>
      <c r="E681" s="25"/>
      <c r="F681" s="24"/>
      <c r="G681" s="24"/>
      <c r="H681" s="21" t="n">
        <f aca="false">IF(OR(E681="",D681&lt;&gt;"รายรับ"),0,E681)</f>
        <v>0</v>
      </c>
      <c r="I681" s="21" t="n">
        <f aca="false">IF(OR(E681="",D681&lt;&gt;"รายจ่าย"),0,E681)</f>
        <v>0</v>
      </c>
      <c r="J681" s="21" t="str">
        <f aca="false">IF(E681="","",ตั้งค่า!$B$4+SUM($H$5:H681)-SUM($I$5:I681))</f>
        <v/>
      </c>
      <c r="K681" s="22" t="str">
        <f aca="false">IF(A681="","",MONTH(A681))</f>
        <v/>
      </c>
      <c r="L681" s="22" t="str">
        <f aca="false">IF(A681="","",YEAR(A681))</f>
        <v/>
      </c>
    </row>
    <row r="682" customFormat="false" ht="15" hidden="false" customHeight="false" outlineLevel="0" collapsed="false">
      <c r="A682" s="23"/>
      <c r="B682" s="24"/>
      <c r="C682" s="24"/>
      <c r="D682" s="20" t="str">
        <f aca="false">IF(C682="","",IF(COUNTIF(ตั้งค่า!$A$7:$A$18,C682)&gt;0,"รายรับ",IF(COUNTIF(ตั้งค่า!$C$7:$C$31,C682)&gt;0,"รายจ่าย","ไม่พบหมวดหมู่")))</f>
        <v/>
      </c>
      <c r="E682" s="25"/>
      <c r="F682" s="24"/>
      <c r="G682" s="24"/>
      <c r="H682" s="21" t="n">
        <f aca="false">IF(OR(E682="",D682&lt;&gt;"รายรับ"),0,E682)</f>
        <v>0</v>
      </c>
      <c r="I682" s="21" t="n">
        <f aca="false">IF(OR(E682="",D682&lt;&gt;"รายจ่าย"),0,E682)</f>
        <v>0</v>
      </c>
      <c r="J682" s="21" t="str">
        <f aca="false">IF(E682="","",ตั้งค่า!$B$4+SUM($H$5:H682)-SUM($I$5:I682))</f>
        <v/>
      </c>
      <c r="K682" s="22" t="str">
        <f aca="false">IF(A682="","",MONTH(A682))</f>
        <v/>
      </c>
      <c r="L682" s="22" t="str">
        <f aca="false">IF(A682="","",YEAR(A682))</f>
        <v/>
      </c>
    </row>
    <row r="683" customFormat="false" ht="15" hidden="false" customHeight="false" outlineLevel="0" collapsed="false">
      <c r="A683" s="23"/>
      <c r="B683" s="24"/>
      <c r="C683" s="24"/>
      <c r="D683" s="20" t="str">
        <f aca="false">IF(C683="","",IF(COUNTIF(ตั้งค่า!$A$7:$A$18,C683)&gt;0,"รายรับ",IF(COUNTIF(ตั้งค่า!$C$7:$C$31,C683)&gt;0,"รายจ่าย","ไม่พบหมวดหมู่")))</f>
        <v/>
      </c>
      <c r="E683" s="25"/>
      <c r="F683" s="24"/>
      <c r="G683" s="24"/>
      <c r="H683" s="21" t="n">
        <f aca="false">IF(OR(E683="",D683&lt;&gt;"รายรับ"),0,E683)</f>
        <v>0</v>
      </c>
      <c r="I683" s="21" t="n">
        <f aca="false">IF(OR(E683="",D683&lt;&gt;"รายจ่าย"),0,E683)</f>
        <v>0</v>
      </c>
      <c r="J683" s="21" t="str">
        <f aca="false">IF(E683="","",ตั้งค่า!$B$4+SUM($H$5:H683)-SUM($I$5:I683))</f>
        <v/>
      </c>
      <c r="K683" s="22" t="str">
        <f aca="false">IF(A683="","",MONTH(A683))</f>
        <v/>
      </c>
      <c r="L683" s="22" t="str">
        <f aca="false">IF(A683="","",YEAR(A683))</f>
        <v/>
      </c>
    </row>
    <row r="684" customFormat="false" ht="15" hidden="false" customHeight="false" outlineLevel="0" collapsed="false">
      <c r="A684" s="23"/>
      <c r="B684" s="24"/>
      <c r="C684" s="24"/>
      <c r="D684" s="20" t="str">
        <f aca="false">IF(C684="","",IF(COUNTIF(ตั้งค่า!$A$7:$A$18,C684)&gt;0,"รายรับ",IF(COUNTIF(ตั้งค่า!$C$7:$C$31,C684)&gt;0,"รายจ่าย","ไม่พบหมวดหมู่")))</f>
        <v/>
      </c>
      <c r="E684" s="25"/>
      <c r="F684" s="24"/>
      <c r="G684" s="24"/>
      <c r="H684" s="21" t="n">
        <f aca="false">IF(OR(E684="",D684&lt;&gt;"รายรับ"),0,E684)</f>
        <v>0</v>
      </c>
      <c r="I684" s="21" t="n">
        <f aca="false">IF(OR(E684="",D684&lt;&gt;"รายจ่าย"),0,E684)</f>
        <v>0</v>
      </c>
      <c r="J684" s="21" t="str">
        <f aca="false">IF(E684="","",ตั้งค่า!$B$4+SUM($H$5:H684)-SUM($I$5:I684))</f>
        <v/>
      </c>
      <c r="K684" s="22" t="str">
        <f aca="false">IF(A684="","",MONTH(A684))</f>
        <v/>
      </c>
      <c r="L684" s="22" t="str">
        <f aca="false">IF(A684="","",YEAR(A684))</f>
        <v/>
      </c>
    </row>
    <row r="685" customFormat="false" ht="15" hidden="false" customHeight="false" outlineLevel="0" collapsed="false">
      <c r="A685" s="23"/>
      <c r="B685" s="24"/>
      <c r="C685" s="24"/>
      <c r="D685" s="20" t="str">
        <f aca="false">IF(C685="","",IF(COUNTIF(ตั้งค่า!$A$7:$A$18,C685)&gt;0,"รายรับ",IF(COUNTIF(ตั้งค่า!$C$7:$C$31,C685)&gt;0,"รายจ่าย","ไม่พบหมวดหมู่")))</f>
        <v/>
      </c>
      <c r="E685" s="25"/>
      <c r="F685" s="24"/>
      <c r="G685" s="24"/>
      <c r="H685" s="21" t="n">
        <f aca="false">IF(OR(E685="",D685&lt;&gt;"รายรับ"),0,E685)</f>
        <v>0</v>
      </c>
      <c r="I685" s="21" t="n">
        <f aca="false">IF(OR(E685="",D685&lt;&gt;"รายจ่าย"),0,E685)</f>
        <v>0</v>
      </c>
      <c r="J685" s="21" t="str">
        <f aca="false">IF(E685="","",ตั้งค่า!$B$4+SUM($H$5:H685)-SUM($I$5:I685))</f>
        <v/>
      </c>
      <c r="K685" s="22" t="str">
        <f aca="false">IF(A685="","",MONTH(A685))</f>
        <v/>
      </c>
      <c r="L685" s="22" t="str">
        <f aca="false">IF(A685="","",YEAR(A685))</f>
        <v/>
      </c>
    </row>
    <row r="686" customFormat="false" ht="15" hidden="false" customHeight="false" outlineLevel="0" collapsed="false">
      <c r="A686" s="23"/>
      <c r="B686" s="24"/>
      <c r="C686" s="24"/>
      <c r="D686" s="20" t="str">
        <f aca="false">IF(C686="","",IF(COUNTIF(ตั้งค่า!$A$7:$A$18,C686)&gt;0,"รายรับ",IF(COUNTIF(ตั้งค่า!$C$7:$C$31,C686)&gt;0,"รายจ่าย","ไม่พบหมวดหมู่")))</f>
        <v/>
      </c>
      <c r="E686" s="25"/>
      <c r="F686" s="24"/>
      <c r="G686" s="24"/>
      <c r="H686" s="21" t="n">
        <f aca="false">IF(OR(E686="",D686&lt;&gt;"รายรับ"),0,E686)</f>
        <v>0</v>
      </c>
      <c r="I686" s="21" t="n">
        <f aca="false">IF(OR(E686="",D686&lt;&gt;"รายจ่าย"),0,E686)</f>
        <v>0</v>
      </c>
      <c r="J686" s="21" t="str">
        <f aca="false">IF(E686="","",ตั้งค่า!$B$4+SUM($H$5:H686)-SUM($I$5:I686))</f>
        <v/>
      </c>
      <c r="K686" s="22" t="str">
        <f aca="false">IF(A686="","",MONTH(A686))</f>
        <v/>
      </c>
      <c r="L686" s="22" t="str">
        <f aca="false">IF(A686="","",YEAR(A686))</f>
        <v/>
      </c>
    </row>
    <row r="687" customFormat="false" ht="15" hidden="false" customHeight="false" outlineLevel="0" collapsed="false">
      <c r="A687" s="23"/>
      <c r="B687" s="24"/>
      <c r="C687" s="24"/>
      <c r="D687" s="20" t="str">
        <f aca="false">IF(C687="","",IF(COUNTIF(ตั้งค่า!$A$7:$A$18,C687)&gt;0,"รายรับ",IF(COUNTIF(ตั้งค่า!$C$7:$C$31,C687)&gt;0,"รายจ่าย","ไม่พบหมวดหมู่")))</f>
        <v/>
      </c>
      <c r="E687" s="25"/>
      <c r="F687" s="24"/>
      <c r="G687" s="24"/>
      <c r="H687" s="21" t="n">
        <f aca="false">IF(OR(E687="",D687&lt;&gt;"รายรับ"),0,E687)</f>
        <v>0</v>
      </c>
      <c r="I687" s="21" t="n">
        <f aca="false">IF(OR(E687="",D687&lt;&gt;"รายจ่าย"),0,E687)</f>
        <v>0</v>
      </c>
      <c r="J687" s="21" t="str">
        <f aca="false">IF(E687="","",ตั้งค่า!$B$4+SUM($H$5:H687)-SUM($I$5:I687))</f>
        <v/>
      </c>
      <c r="K687" s="22" t="str">
        <f aca="false">IF(A687="","",MONTH(A687))</f>
        <v/>
      </c>
      <c r="L687" s="22" t="str">
        <f aca="false">IF(A687="","",YEAR(A687))</f>
        <v/>
      </c>
    </row>
    <row r="688" customFormat="false" ht="15" hidden="false" customHeight="false" outlineLevel="0" collapsed="false">
      <c r="A688" s="23"/>
      <c r="B688" s="24"/>
      <c r="C688" s="24"/>
      <c r="D688" s="20" t="str">
        <f aca="false">IF(C688="","",IF(COUNTIF(ตั้งค่า!$A$7:$A$18,C688)&gt;0,"รายรับ",IF(COUNTIF(ตั้งค่า!$C$7:$C$31,C688)&gt;0,"รายจ่าย","ไม่พบหมวดหมู่")))</f>
        <v/>
      </c>
      <c r="E688" s="25"/>
      <c r="F688" s="24"/>
      <c r="G688" s="24"/>
      <c r="H688" s="21" t="n">
        <f aca="false">IF(OR(E688="",D688&lt;&gt;"รายรับ"),0,E688)</f>
        <v>0</v>
      </c>
      <c r="I688" s="21" t="n">
        <f aca="false">IF(OR(E688="",D688&lt;&gt;"รายจ่าย"),0,E688)</f>
        <v>0</v>
      </c>
      <c r="J688" s="21" t="str">
        <f aca="false">IF(E688="","",ตั้งค่า!$B$4+SUM($H$5:H688)-SUM($I$5:I688))</f>
        <v/>
      </c>
      <c r="K688" s="22" t="str">
        <f aca="false">IF(A688="","",MONTH(A688))</f>
        <v/>
      </c>
      <c r="L688" s="22" t="str">
        <f aca="false">IF(A688="","",YEAR(A688))</f>
        <v/>
      </c>
    </row>
    <row r="689" customFormat="false" ht="15" hidden="false" customHeight="false" outlineLevel="0" collapsed="false">
      <c r="A689" s="23"/>
      <c r="B689" s="24"/>
      <c r="C689" s="24"/>
      <c r="D689" s="20" t="str">
        <f aca="false">IF(C689="","",IF(COUNTIF(ตั้งค่า!$A$7:$A$18,C689)&gt;0,"รายรับ",IF(COUNTIF(ตั้งค่า!$C$7:$C$31,C689)&gt;0,"รายจ่าย","ไม่พบหมวดหมู่")))</f>
        <v/>
      </c>
      <c r="E689" s="25"/>
      <c r="F689" s="24"/>
      <c r="G689" s="24"/>
      <c r="H689" s="21" t="n">
        <f aca="false">IF(OR(E689="",D689&lt;&gt;"รายรับ"),0,E689)</f>
        <v>0</v>
      </c>
      <c r="I689" s="21" t="n">
        <f aca="false">IF(OR(E689="",D689&lt;&gt;"รายจ่าย"),0,E689)</f>
        <v>0</v>
      </c>
      <c r="J689" s="21" t="str">
        <f aca="false">IF(E689="","",ตั้งค่า!$B$4+SUM($H$5:H689)-SUM($I$5:I689))</f>
        <v/>
      </c>
      <c r="K689" s="22" t="str">
        <f aca="false">IF(A689="","",MONTH(A689))</f>
        <v/>
      </c>
      <c r="L689" s="22" t="str">
        <f aca="false">IF(A689="","",YEAR(A689))</f>
        <v/>
      </c>
    </row>
    <row r="690" customFormat="false" ht="15" hidden="false" customHeight="false" outlineLevel="0" collapsed="false">
      <c r="A690" s="23"/>
      <c r="B690" s="24"/>
      <c r="C690" s="24"/>
      <c r="D690" s="20" t="str">
        <f aca="false">IF(C690="","",IF(COUNTIF(ตั้งค่า!$A$7:$A$18,C690)&gt;0,"รายรับ",IF(COUNTIF(ตั้งค่า!$C$7:$C$31,C690)&gt;0,"รายจ่าย","ไม่พบหมวดหมู่")))</f>
        <v/>
      </c>
      <c r="E690" s="25"/>
      <c r="F690" s="24"/>
      <c r="G690" s="24"/>
      <c r="H690" s="21" t="n">
        <f aca="false">IF(OR(E690="",D690&lt;&gt;"รายรับ"),0,E690)</f>
        <v>0</v>
      </c>
      <c r="I690" s="21" t="n">
        <f aca="false">IF(OR(E690="",D690&lt;&gt;"รายจ่าย"),0,E690)</f>
        <v>0</v>
      </c>
      <c r="J690" s="21" t="str">
        <f aca="false">IF(E690="","",ตั้งค่า!$B$4+SUM($H$5:H690)-SUM($I$5:I690))</f>
        <v/>
      </c>
      <c r="K690" s="22" t="str">
        <f aca="false">IF(A690="","",MONTH(A690))</f>
        <v/>
      </c>
      <c r="L690" s="22" t="str">
        <f aca="false">IF(A690="","",YEAR(A690))</f>
        <v/>
      </c>
    </row>
    <row r="691" customFormat="false" ht="15" hidden="false" customHeight="false" outlineLevel="0" collapsed="false">
      <c r="A691" s="23"/>
      <c r="B691" s="24"/>
      <c r="C691" s="24"/>
      <c r="D691" s="20" t="str">
        <f aca="false">IF(C691="","",IF(COUNTIF(ตั้งค่า!$A$7:$A$18,C691)&gt;0,"รายรับ",IF(COUNTIF(ตั้งค่า!$C$7:$C$31,C691)&gt;0,"รายจ่าย","ไม่พบหมวดหมู่")))</f>
        <v/>
      </c>
      <c r="E691" s="25"/>
      <c r="F691" s="24"/>
      <c r="G691" s="24"/>
      <c r="H691" s="21" t="n">
        <f aca="false">IF(OR(E691="",D691&lt;&gt;"รายรับ"),0,E691)</f>
        <v>0</v>
      </c>
      <c r="I691" s="21" t="n">
        <f aca="false">IF(OR(E691="",D691&lt;&gt;"รายจ่าย"),0,E691)</f>
        <v>0</v>
      </c>
      <c r="J691" s="21" t="str">
        <f aca="false">IF(E691="","",ตั้งค่า!$B$4+SUM($H$5:H691)-SUM($I$5:I691))</f>
        <v/>
      </c>
      <c r="K691" s="22" t="str">
        <f aca="false">IF(A691="","",MONTH(A691))</f>
        <v/>
      </c>
      <c r="L691" s="22" t="str">
        <f aca="false">IF(A691="","",YEAR(A691))</f>
        <v/>
      </c>
    </row>
    <row r="692" customFormat="false" ht="15" hidden="false" customHeight="false" outlineLevel="0" collapsed="false">
      <c r="A692" s="23"/>
      <c r="B692" s="24"/>
      <c r="C692" s="24"/>
      <c r="D692" s="20" t="str">
        <f aca="false">IF(C692="","",IF(COUNTIF(ตั้งค่า!$A$7:$A$18,C692)&gt;0,"รายรับ",IF(COUNTIF(ตั้งค่า!$C$7:$C$31,C692)&gt;0,"รายจ่าย","ไม่พบหมวดหมู่")))</f>
        <v/>
      </c>
      <c r="E692" s="25"/>
      <c r="F692" s="24"/>
      <c r="G692" s="24"/>
      <c r="H692" s="21" t="n">
        <f aca="false">IF(OR(E692="",D692&lt;&gt;"รายรับ"),0,E692)</f>
        <v>0</v>
      </c>
      <c r="I692" s="21" t="n">
        <f aca="false">IF(OR(E692="",D692&lt;&gt;"รายจ่าย"),0,E692)</f>
        <v>0</v>
      </c>
      <c r="J692" s="21" t="str">
        <f aca="false">IF(E692="","",ตั้งค่า!$B$4+SUM($H$5:H692)-SUM($I$5:I692))</f>
        <v/>
      </c>
      <c r="K692" s="22" t="str">
        <f aca="false">IF(A692="","",MONTH(A692))</f>
        <v/>
      </c>
      <c r="L692" s="22" t="str">
        <f aca="false">IF(A692="","",YEAR(A692))</f>
        <v/>
      </c>
    </row>
    <row r="693" customFormat="false" ht="15" hidden="false" customHeight="false" outlineLevel="0" collapsed="false">
      <c r="A693" s="23"/>
      <c r="B693" s="24"/>
      <c r="C693" s="24"/>
      <c r="D693" s="20" t="str">
        <f aca="false">IF(C693="","",IF(COUNTIF(ตั้งค่า!$A$7:$A$18,C693)&gt;0,"รายรับ",IF(COUNTIF(ตั้งค่า!$C$7:$C$31,C693)&gt;0,"รายจ่าย","ไม่พบหมวดหมู่")))</f>
        <v/>
      </c>
      <c r="E693" s="25"/>
      <c r="F693" s="24"/>
      <c r="G693" s="24"/>
      <c r="H693" s="21" t="n">
        <f aca="false">IF(OR(E693="",D693&lt;&gt;"รายรับ"),0,E693)</f>
        <v>0</v>
      </c>
      <c r="I693" s="21" t="n">
        <f aca="false">IF(OR(E693="",D693&lt;&gt;"รายจ่าย"),0,E693)</f>
        <v>0</v>
      </c>
      <c r="J693" s="21" t="str">
        <f aca="false">IF(E693="","",ตั้งค่า!$B$4+SUM($H$5:H693)-SUM($I$5:I693))</f>
        <v/>
      </c>
      <c r="K693" s="22" t="str">
        <f aca="false">IF(A693="","",MONTH(A693))</f>
        <v/>
      </c>
      <c r="L693" s="22" t="str">
        <f aca="false">IF(A693="","",YEAR(A693))</f>
        <v/>
      </c>
    </row>
    <row r="694" customFormat="false" ht="15" hidden="false" customHeight="false" outlineLevel="0" collapsed="false">
      <c r="A694" s="23"/>
      <c r="B694" s="24"/>
      <c r="C694" s="24"/>
      <c r="D694" s="20" t="str">
        <f aca="false">IF(C694="","",IF(COUNTIF(ตั้งค่า!$A$7:$A$18,C694)&gt;0,"รายรับ",IF(COUNTIF(ตั้งค่า!$C$7:$C$31,C694)&gt;0,"รายจ่าย","ไม่พบหมวดหมู่")))</f>
        <v/>
      </c>
      <c r="E694" s="25"/>
      <c r="F694" s="24"/>
      <c r="G694" s="24"/>
      <c r="H694" s="21" t="n">
        <f aca="false">IF(OR(E694="",D694&lt;&gt;"รายรับ"),0,E694)</f>
        <v>0</v>
      </c>
      <c r="I694" s="21" t="n">
        <f aca="false">IF(OR(E694="",D694&lt;&gt;"รายจ่าย"),0,E694)</f>
        <v>0</v>
      </c>
      <c r="J694" s="21" t="str">
        <f aca="false">IF(E694="","",ตั้งค่า!$B$4+SUM($H$5:H694)-SUM($I$5:I694))</f>
        <v/>
      </c>
      <c r="K694" s="22" t="str">
        <f aca="false">IF(A694="","",MONTH(A694))</f>
        <v/>
      </c>
      <c r="L694" s="22" t="str">
        <f aca="false">IF(A694="","",YEAR(A694))</f>
        <v/>
      </c>
    </row>
    <row r="695" customFormat="false" ht="15" hidden="false" customHeight="false" outlineLevel="0" collapsed="false">
      <c r="A695" s="23"/>
      <c r="B695" s="24"/>
      <c r="C695" s="24"/>
      <c r="D695" s="20" t="str">
        <f aca="false">IF(C695="","",IF(COUNTIF(ตั้งค่า!$A$7:$A$18,C695)&gt;0,"รายรับ",IF(COUNTIF(ตั้งค่า!$C$7:$C$31,C695)&gt;0,"รายจ่าย","ไม่พบหมวดหมู่")))</f>
        <v/>
      </c>
      <c r="E695" s="25"/>
      <c r="F695" s="24"/>
      <c r="G695" s="24"/>
      <c r="H695" s="21" t="n">
        <f aca="false">IF(OR(E695="",D695&lt;&gt;"รายรับ"),0,E695)</f>
        <v>0</v>
      </c>
      <c r="I695" s="21" t="n">
        <f aca="false">IF(OR(E695="",D695&lt;&gt;"รายจ่าย"),0,E695)</f>
        <v>0</v>
      </c>
      <c r="J695" s="21" t="str">
        <f aca="false">IF(E695="","",ตั้งค่า!$B$4+SUM($H$5:H695)-SUM($I$5:I695))</f>
        <v/>
      </c>
      <c r="K695" s="22" t="str">
        <f aca="false">IF(A695="","",MONTH(A695))</f>
        <v/>
      </c>
      <c r="L695" s="22" t="str">
        <f aca="false">IF(A695="","",YEAR(A695))</f>
        <v/>
      </c>
    </row>
    <row r="696" customFormat="false" ht="15" hidden="false" customHeight="false" outlineLevel="0" collapsed="false">
      <c r="A696" s="23"/>
      <c r="B696" s="24"/>
      <c r="C696" s="24"/>
      <c r="D696" s="20" t="str">
        <f aca="false">IF(C696="","",IF(COUNTIF(ตั้งค่า!$A$7:$A$18,C696)&gt;0,"รายรับ",IF(COUNTIF(ตั้งค่า!$C$7:$C$31,C696)&gt;0,"รายจ่าย","ไม่พบหมวดหมู่")))</f>
        <v/>
      </c>
      <c r="E696" s="25"/>
      <c r="F696" s="24"/>
      <c r="G696" s="24"/>
      <c r="H696" s="21" t="n">
        <f aca="false">IF(OR(E696="",D696&lt;&gt;"รายรับ"),0,E696)</f>
        <v>0</v>
      </c>
      <c r="I696" s="21" t="n">
        <f aca="false">IF(OR(E696="",D696&lt;&gt;"รายจ่าย"),0,E696)</f>
        <v>0</v>
      </c>
      <c r="J696" s="21" t="str">
        <f aca="false">IF(E696="","",ตั้งค่า!$B$4+SUM($H$5:H696)-SUM($I$5:I696))</f>
        <v/>
      </c>
      <c r="K696" s="22" t="str">
        <f aca="false">IF(A696="","",MONTH(A696))</f>
        <v/>
      </c>
      <c r="L696" s="22" t="str">
        <f aca="false">IF(A696="","",YEAR(A696))</f>
        <v/>
      </c>
    </row>
    <row r="697" customFormat="false" ht="15" hidden="false" customHeight="false" outlineLevel="0" collapsed="false">
      <c r="A697" s="23"/>
      <c r="B697" s="24"/>
      <c r="C697" s="24"/>
      <c r="D697" s="20" t="str">
        <f aca="false">IF(C697="","",IF(COUNTIF(ตั้งค่า!$A$7:$A$18,C697)&gt;0,"รายรับ",IF(COUNTIF(ตั้งค่า!$C$7:$C$31,C697)&gt;0,"รายจ่าย","ไม่พบหมวดหมู่")))</f>
        <v/>
      </c>
      <c r="E697" s="25"/>
      <c r="F697" s="24"/>
      <c r="G697" s="24"/>
      <c r="H697" s="21" t="n">
        <f aca="false">IF(OR(E697="",D697&lt;&gt;"รายรับ"),0,E697)</f>
        <v>0</v>
      </c>
      <c r="I697" s="21" t="n">
        <f aca="false">IF(OR(E697="",D697&lt;&gt;"รายจ่าย"),0,E697)</f>
        <v>0</v>
      </c>
      <c r="J697" s="21" t="str">
        <f aca="false">IF(E697="","",ตั้งค่า!$B$4+SUM($H$5:H697)-SUM($I$5:I697))</f>
        <v/>
      </c>
      <c r="K697" s="22" t="str">
        <f aca="false">IF(A697="","",MONTH(A697))</f>
        <v/>
      </c>
      <c r="L697" s="22" t="str">
        <f aca="false">IF(A697="","",YEAR(A697))</f>
        <v/>
      </c>
    </row>
    <row r="698" customFormat="false" ht="15" hidden="false" customHeight="false" outlineLevel="0" collapsed="false">
      <c r="A698" s="23"/>
      <c r="B698" s="24"/>
      <c r="C698" s="24"/>
      <c r="D698" s="20" t="str">
        <f aca="false">IF(C698="","",IF(COUNTIF(ตั้งค่า!$A$7:$A$18,C698)&gt;0,"รายรับ",IF(COUNTIF(ตั้งค่า!$C$7:$C$31,C698)&gt;0,"รายจ่าย","ไม่พบหมวดหมู่")))</f>
        <v/>
      </c>
      <c r="E698" s="25"/>
      <c r="F698" s="24"/>
      <c r="G698" s="24"/>
      <c r="H698" s="21" t="n">
        <f aca="false">IF(OR(E698="",D698&lt;&gt;"รายรับ"),0,E698)</f>
        <v>0</v>
      </c>
      <c r="I698" s="21" t="n">
        <f aca="false">IF(OR(E698="",D698&lt;&gt;"รายจ่าย"),0,E698)</f>
        <v>0</v>
      </c>
      <c r="J698" s="21" t="str">
        <f aca="false">IF(E698="","",ตั้งค่า!$B$4+SUM($H$5:H698)-SUM($I$5:I698))</f>
        <v/>
      </c>
      <c r="K698" s="22" t="str">
        <f aca="false">IF(A698="","",MONTH(A698))</f>
        <v/>
      </c>
      <c r="L698" s="22" t="str">
        <f aca="false">IF(A698="","",YEAR(A698))</f>
        <v/>
      </c>
    </row>
    <row r="699" customFormat="false" ht="15" hidden="false" customHeight="false" outlineLevel="0" collapsed="false">
      <c r="A699" s="23"/>
      <c r="B699" s="24"/>
      <c r="C699" s="24"/>
      <c r="D699" s="20" t="str">
        <f aca="false">IF(C699="","",IF(COUNTIF(ตั้งค่า!$A$7:$A$18,C699)&gt;0,"รายรับ",IF(COUNTIF(ตั้งค่า!$C$7:$C$31,C699)&gt;0,"รายจ่าย","ไม่พบหมวดหมู่")))</f>
        <v/>
      </c>
      <c r="E699" s="25"/>
      <c r="F699" s="24"/>
      <c r="G699" s="24"/>
      <c r="H699" s="21" t="n">
        <f aca="false">IF(OR(E699="",D699&lt;&gt;"รายรับ"),0,E699)</f>
        <v>0</v>
      </c>
      <c r="I699" s="21" t="n">
        <f aca="false">IF(OR(E699="",D699&lt;&gt;"รายจ่าย"),0,E699)</f>
        <v>0</v>
      </c>
      <c r="J699" s="21" t="str">
        <f aca="false">IF(E699="","",ตั้งค่า!$B$4+SUM($H$5:H699)-SUM($I$5:I699))</f>
        <v/>
      </c>
      <c r="K699" s="22" t="str">
        <f aca="false">IF(A699="","",MONTH(A699))</f>
        <v/>
      </c>
      <c r="L699" s="22" t="str">
        <f aca="false">IF(A699="","",YEAR(A699))</f>
        <v/>
      </c>
    </row>
    <row r="700" customFormat="false" ht="15" hidden="false" customHeight="false" outlineLevel="0" collapsed="false">
      <c r="A700" s="23"/>
      <c r="B700" s="24"/>
      <c r="C700" s="24"/>
      <c r="D700" s="20" t="str">
        <f aca="false">IF(C700="","",IF(COUNTIF(ตั้งค่า!$A$7:$A$18,C700)&gt;0,"รายรับ",IF(COUNTIF(ตั้งค่า!$C$7:$C$31,C700)&gt;0,"รายจ่าย","ไม่พบหมวดหมู่")))</f>
        <v/>
      </c>
      <c r="E700" s="25"/>
      <c r="F700" s="24"/>
      <c r="G700" s="24"/>
      <c r="H700" s="21" t="n">
        <f aca="false">IF(OR(E700="",D700&lt;&gt;"รายรับ"),0,E700)</f>
        <v>0</v>
      </c>
      <c r="I700" s="21" t="n">
        <f aca="false">IF(OR(E700="",D700&lt;&gt;"รายจ่าย"),0,E700)</f>
        <v>0</v>
      </c>
      <c r="J700" s="21" t="str">
        <f aca="false">IF(E700="","",ตั้งค่า!$B$4+SUM($H$5:H700)-SUM($I$5:I700))</f>
        <v/>
      </c>
      <c r="K700" s="22" t="str">
        <f aca="false">IF(A700="","",MONTH(A700))</f>
        <v/>
      </c>
      <c r="L700" s="22" t="str">
        <f aca="false">IF(A700="","",YEAR(A700))</f>
        <v/>
      </c>
    </row>
    <row r="701" customFormat="false" ht="15" hidden="false" customHeight="false" outlineLevel="0" collapsed="false">
      <c r="A701" s="23"/>
      <c r="B701" s="24"/>
      <c r="C701" s="24"/>
      <c r="D701" s="20" t="str">
        <f aca="false">IF(C701="","",IF(COUNTIF(ตั้งค่า!$A$7:$A$18,C701)&gt;0,"รายรับ",IF(COUNTIF(ตั้งค่า!$C$7:$C$31,C701)&gt;0,"รายจ่าย","ไม่พบหมวดหมู่")))</f>
        <v/>
      </c>
      <c r="E701" s="25"/>
      <c r="F701" s="24"/>
      <c r="G701" s="24"/>
      <c r="H701" s="21" t="n">
        <f aca="false">IF(OR(E701="",D701&lt;&gt;"รายรับ"),0,E701)</f>
        <v>0</v>
      </c>
      <c r="I701" s="21" t="n">
        <f aca="false">IF(OR(E701="",D701&lt;&gt;"รายจ่าย"),0,E701)</f>
        <v>0</v>
      </c>
      <c r="J701" s="21" t="str">
        <f aca="false">IF(E701="","",ตั้งค่า!$B$4+SUM($H$5:H701)-SUM($I$5:I701))</f>
        <v/>
      </c>
      <c r="K701" s="22" t="str">
        <f aca="false">IF(A701="","",MONTH(A701))</f>
        <v/>
      </c>
      <c r="L701" s="22" t="str">
        <f aca="false">IF(A701="","",YEAR(A701))</f>
        <v/>
      </c>
    </row>
    <row r="702" customFormat="false" ht="15" hidden="false" customHeight="false" outlineLevel="0" collapsed="false">
      <c r="A702" s="23"/>
      <c r="B702" s="24"/>
      <c r="C702" s="24"/>
      <c r="D702" s="20" t="str">
        <f aca="false">IF(C702="","",IF(COUNTIF(ตั้งค่า!$A$7:$A$18,C702)&gt;0,"รายรับ",IF(COUNTIF(ตั้งค่า!$C$7:$C$31,C702)&gt;0,"รายจ่าย","ไม่พบหมวดหมู่")))</f>
        <v/>
      </c>
      <c r="E702" s="25"/>
      <c r="F702" s="24"/>
      <c r="G702" s="24"/>
      <c r="H702" s="21" t="n">
        <f aca="false">IF(OR(E702="",D702&lt;&gt;"รายรับ"),0,E702)</f>
        <v>0</v>
      </c>
      <c r="I702" s="21" t="n">
        <f aca="false">IF(OR(E702="",D702&lt;&gt;"รายจ่าย"),0,E702)</f>
        <v>0</v>
      </c>
      <c r="J702" s="21" t="str">
        <f aca="false">IF(E702="","",ตั้งค่า!$B$4+SUM($H$5:H702)-SUM($I$5:I702))</f>
        <v/>
      </c>
      <c r="K702" s="22" t="str">
        <f aca="false">IF(A702="","",MONTH(A702))</f>
        <v/>
      </c>
      <c r="L702" s="22" t="str">
        <f aca="false">IF(A702="","",YEAR(A702))</f>
        <v/>
      </c>
    </row>
    <row r="703" customFormat="false" ht="15" hidden="false" customHeight="false" outlineLevel="0" collapsed="false">
      <c r="A703" s="23"/>
      <c r="B703" s="24"/>
      <c r="C703" s="24"/>
      <c r="D703" s="20" t="str">
        <f aca="false">IF(C703="","",IF(COUNTIF(ตั้งค่า!$A$7:$A$18,C703)&gt;0,"รายรับ",IF(COUNTIF(ตั้งค่า!$C$7:$C$31,C703)&gt;0,"รายจ่าย","ไม่พบหมวดหมู่")))</f>
        <v/>
      </c>
      <c r="E703" s="25"/>
      <c r="F703" s="24"/>
      <c r="G703" s="24"/>
      <c r="H703" s="21" t="n">
        <f aca="false">IF(OR(E703="",D703&lt;&gt;"รายรับ"),0,E703)</f>
        <v>0</v>
      </c>
      <c r="I703" s="21" t="n">
        <f aca="false">IF(OR(E703="",D703&lt;&gt;"รายจ่าย"),0,E703)</f>
        <v>0</v>
      </c>
      <c r="J703" s="21" t="str">
        <f aca="false">IF(E703="","",ตั้งค่า!$B$4+SUM($H$5:H703)-SUM($I$5:I703))</f>
        <v/>
      </c>
      <c r="K703" s="22" t="str">
        <f aca="false">IF(A703="","",MONTH(A703))</f>
        <v/>
      </c>
      <c r="L703" s="22" t="str">
        <f aca="false">IF(A703="","",YEAR(A703))</f>
        <v/>
      </c>
    </row>
    <row r="704" customFormat="false" ht="15" hidden="false" customHeight="false" outlineLevel="0" collapsed="false">
      <c r="A704" s="23"/>
      <c r="B704" s="24"/>
      <c r="C704" s="24"/>
      <c r="D704" s="20" t="str">
        <f aca="false">IF(C704="","",IF(COUNTIF(ตั้งค่า!$A$7:$A$18,C704)&gt;0,"รายรับ",IF(COUNTIF(ตั้งค่า!$C$7:$C$31,C704)&gt;0,"รายจ่าย","ไม่พบหมวดหมู่")))</f>
        <v/>
      </c>
      <c r="E704" s="25"/>
      <c r="F704" s="24"/>
      <c r="G704" s="24"/>
      <c r="H704" s="21" t="n">
        <f aca="false">IF(OR(E704="",D704&lt;&gt;"รายรับ"),0,E704)</f>
        <v>0</v>
      </c>
      <c r="I704" s="21" t="n">
        <f aca="false">IF(OR(E704="",D704&lt;&gt;"รายจ่าย"),0,E704)</f>
        <v>0</v>
      </c>
      <c r="J704" s="21" t="str">
        <f aca="false">IF(E704="","",ตั้งค่า!$B$4+SUM($H$5:H704)-SUM($I$5:I704))</f>
        <v/>
      </c>
      <c r="K704" s="22" t="str">
        <f aca="false">IF(A704="","",MONTH(A704))</f>
        <v/>
      </c>
      <c r="L704" s="22" t="str">
        <f aca="false">IF(A704="","",YEAR(A704))</f>
        <v/>
      </c>
    </row>
    <row r="705" customFormat="false" ht="15" hidden="false" customHeight="false" outlineLevel="0" collapsed="false">
      <c r="A705" s="23"/>
      <c r="B705" s="24"/>
      <c r="C705" s="24"/>
      <c r="D705" s="20" t="str">
        <f aca="false">IF(C705="","",IF(COUNTIF(ตั้งค่า!$A$7:$A$18,C705)&gt;0,"รายรับ",IF(COUNTIF(ตั้งค่า!$C$7:$C$31,C705)&gt;0,"รายจ่าย","ไม่พบหมวดหมู่")))</f>
        <v/>
      </c>
      <c r="E705" s="25"/>
      <c r="F705" s="24"/>
      <c r="G705" s="24"/>
      <c r="H705" s="21" t="n">
        <f aca="false">IF(OR(E705="",D705&lt;&gt;"รายรับ"),0,E705)</f>
        <v>0</v>
      </c>
      <c r="I705" s="21" t="n">
        <f aca="false">IF(OR(E705="",D705&lt;&gt;"รายจ่าย"),0,E705)</f>
        <v>0</v>
      </c>
      <c r="J705" s="21" t="str">
        <f aca="false">IF(E705="","",ตั้งค่า!$B$4+SUM($H$5:H705)-SUM($I$5:I705))</f>
        <v/>
      </c>
      <c r="K705" s="22" t="str">
        <f aca="false">IF(A705="","",MONTH(A705))</f>
        <v/>
      </c>
      <c r="L705" s="22" t="str">
        <f aca="false">IF(A705="","",YEAR(A705))</f>
        <v/>
      </c>
    </row>
    <row r="706" customFormat="false" ht="15" hidden="false" customHeight="false" outlineLevel="0" collapsed="false">
      <c r="A706" s="23"/>
      <c r="B706" s="24"/>
      <c r="C706" s="24"/>
      <c r="D706" s="20" t="str">
        <f aca="false">IF(C706="","",IF(COUNTIF(ตั้งค่า!$A$7:$A$18,C706)&gt;0,"รายรับ",IF(COUNTIF(ตั้งค่า!$C$7:$C$31,C706)&gt;0,"รายจ่าย","ไม่พบหมวดหมู่")))</f>
        <v/>
      </c>
      <c r="E706" s="25"/>
      <c r="F706" s="24"/>
      <c r="G706" s="24"/>
      <c r="H706" s="21" t="n">
        <f aca="false">IF(OR(E706="",D706&lt;&gt;"รายรับ"),0,E706)</f>
        <v>0</v>
      </c>
      <c r="I706" s="21" t="n">
        <f aca="false">IF(OR(E706="",D706&lt;&gt;"รายจ่าย"),0,E706)</f>
        <v>0</v>
      </c>
      <c r="J706" s="21" t="str">
        <f aca="false">IF(E706="","",ตั้งค่า!$B$4+SUM($H$5:H706)-SUM($I$5:I706))</f>
        <v/>
      </c>
      <c r="K706" s="22" t="str">
        <f aca="false">IF(A706="","",MONTH(A706))</f>
        <v/>
      </c>
      <c r="L706" s="22" t="str">
        <f aca="false">IF(A706="","",YEAR(A706))</f>
        <v/>
      </c>
    </row>
    <row r="707" customFormat="false" ht="15" hidden="false" customHeight="false" outlineLevel="0" collapsed="false">
      <c r="A707" s="23"/>
      <c r="B707" s="24"/>
      <c r="C707" s="24"/>
      <c r="D707" s="20" t="str">
        <f aca="false">IF(C707="","",IF(COUNTIF(ตั้งค่า!$A$7:$A$18,C707)&gt;0,"รายรับ",IF(COUNTIF(ตั้งค่า!$C$7:$C$31,C707)&gt;0,"รายจ่าย","ไม่พบหมวดหมู่")))</f>
        <v/>
      </c>
      <c r="E707" s="25"/>
      <c r="F707" s="24"/>
      <c r="G707" s="24"/>
      <c r="H707" s="21" t="n">
        <f aca="false">IF(OR(E707="",D707&lt;&gt;"รายรับ"),0,E707)</f>
        <v>0</v>
      </c>
      <c r="I707" s="21" t="n">
        <f aca="false">IF(OR(E707="",D707&lt;&gt;"รายจ่าย"),0,E707)</f>
        <v>0</v>
      </c>
      <c r="J707" s="21" t="str">
        <f aca="false">IF(E707="","",ตั้งค่า!$B$4+SUM($H$5:H707)-SUM($I$5:I707))</f>
        <v/>
      </c>
      <c r="K707" s="22" t="str">
        <f aca="false">IF(A707="","",MONTH(A707))</f>
        <v/>
      </c>
      <c r="L707" s="22" t="str">
        <f aca="false">IF(A707="","",YEAR(A707))</f>
        <v/>
      </c>
    </row>
    <row r="708" customFormat="false" ht="15" hidden="false" customHeight="false" outlineLevel="0" collapsed="false">
      <c r="A708" s="23"/>
      <c r="B708" s="24"/>
      <c r="C708" s="24"/>
      <c r="D708" s="20" t="str">
        <f aca="false">IF(C708="","",IF(COUNTIF(ตั้งค่า!$A$7:$A$18,C708)&gt;0,"รายรับ",IF(COUNTIF(ตั้งค่า!$C$7:$C$31,C708)&gt;0,"รายจ่าย","ไม่พบหมวดหมู่")))</f>
        <v/>
      </c>
      <c r="E708" s="25"/>
      <c r="F708" s="24"/>
      <c r="G708" s="24"/>
      <c r="H708" s="21" t="n">
        <f aca="false">IF(OR(E708="",D708&lt;&gt;"รายรับ"),0,E708)</f>
        <v>0</v>
      </c>
      <c r="I708" s="21" t="n">
        <f aca="false">IF(OR(E708="",D708&lt;&gt;"รายจ่าย"),0,E708)</f>
        <v>0</v>
      </c>
      <c r="J708" s="21" t="str">
        <f aca="false">IF(E708="","",ตั้งค่า!$B$4+SUM($H$5:H708)-SUM($I$5:I708))</f>
        <v/>
      </c>
      <c r="K708" s="22" t="str">
        <f aca="false">IF(A708="","",MONTH(A708))</f>
        <v/>
      </c>
      <c r="L708" s="22" t="str">
        <f aca="false">IF(A708="","",YEAR(A708))</f>
        <v/>
      </c>
    </row>
    <row r="709" customFormat="false" ht="15" hidden="false" customHeight="false" outlineLevel="0" collapsed="false">
      <c r="A709" s="23"/>
      <c r="B709" s="24"/>
      <c r="C709" s="24"/>
      <c r="D709" s="20" t="str">
        <f aca="false">IF(C709="","",IF(COUNTIF(ตั้งค่า!$A$7:$A$18,C709)&gt;0,"รายรับ",IF(COUNTIF(ตั้งค่า!$C$7:$C$31,C709)&gt;0,"รายจ่าย","ไม่พบหมวดหมู่")))</f>
        <v/>
      </c>
      <c r="E709" s="25"/>
      <c r="F709" s="24"/>
      <c r="G709" s="24"/>
      <c r="H709" s="21" t="n">
        <f aca="false">IF(OR(E709="",D709&lt;&gt;"รายรับ"),0,E709)</f>
        <v>0</v>
      </c>
      <c r="I709" s="21" t="n">
        <f aca="false">IF(OR(E709="",D709&lt;&gt;"รายจ่าย"),0,E709)</f>
        <v>0</v>
      </c>
      <c r="J709" s="21" t="str">
        <f aca="false">IF(E709="","",ตั้งค่า!$B$4+SUM($H$5:H709)-SUM($I$5:I709))</f>
        <v/>
      </c>
      <c r="K709" s="22" t="str">
        <f aca="false">IF(A709="","",MONTH(A709))</f>
        <v/>
      </c>
      <c r="L709" s="22" t="str">
        <f aca="false">IF(A709="","",YEAR(A709))</f>
        <v/>
      </c>
    </row>
    <row r="710" customFormat="false" ht="15" hidden="false" customHeight="false" outlineLevel="0" collapsed="false">
      <c r="A710" s="23"/>
      <c r="B710" s="24"/>
      <c r="C710" s="24"/>
      <c r="D710" s="20" t="str">
        <f aca="false">IF(C710="","",IF(COUNTIF(ตั้งค่า!$A$7:$A$18,C710)&gt;0,"รายรับ",IF(COUNTIF(ตั้งค่า!$C$7:$C$31,C710)&gt;0,"รายจ่าย","ไม่พบหมวดหมู่")))</f>
        <v/>
      </c>
      <c r="E710" s="25"/>
      <c r="F710" s="24"/>
      <c r="G710" s="24"/>
      <c r="H710" s="21" t="n">
        <f aca="false">IF(OR(E710="",D710&lt;&gt;"รายรับ"),0,E710)</f>
        <v>0</v>
      </c>
      <c r="I710" s="21" t="n">
        <f aca="false">IF(OR(E710="",D710&lt;&gt;"รายจ่าย"),0,E710)</f>
        <v>0</v>
      </c>
      <c r="J710" s="21" t="str">
        <f aca="false">IF(E710="","",ตั้งค่า!$B$4+SUM($H$5:H710)-SUM($I$5:I710))</f>
        <v/>
      </c>
      <c r="K710" s="22" t="str">
        <f aca="false">IF(A710="","",MONTH(A710))</f>
        <v/>
      </c>
      <c r="L710" s="22" t="str">
        <f aca="false">IF(A710="","",YEAR(A710))</f>
        <v/>
      </c>
    </row>
    <row r="711" customFormat="false" ht="15" hidden="false" customHeight="false" outlineLevel="0" collapsed="false">
      <c r="A711" s="23"/>
      <c r="B711" s="24"/>
      <c r="C711" s="24"/>
      <c r="D711" s="20" t="str">
        <f aca="false">IF(C711="","",IF(COUNTIF(ตั้งค่า!$A$7:$A$18,C711)&gt;0,"รายรับ",IF(COUNTIF(ตั้งค่า!$C$7:$C$31,C711)&gt;0,"รายจ่าย","ไม่พบหมวดหมู่")))</f>
        <v/>
      </c>
      <c r="E711" s="25"/>
      <c r="F711" s="24"/>
      <c r="G711" s="24"/>
      <c r="H711" s="21" t="n">
        <f aca="false">IF(OR(E711="",D711&lt;&gt;"รายรับ"),0,E711)</f>
        <v>0</v>
      </c>
      <c r="I711" s="21" t="n">
        <f aca="false">IF(OR(E711="",D711&lt;&gt;"รายจ่าย"),0,E711)</f>
        <v>0</v>
      </c>
      <c r="J711" s="21" t="str">
        <f aca="false">IF(E711="","",ตั้งค่า!$B$4+SUM($H$5:H711)-SUM($I$5:I711))</f>
        <v/>
      </c>
      <c r="K711" s="22" t="str">
        <f aca="false">IF(A711="","",MONTH(A711))</f>
        <v/>
      </c>
      <c r="L711" s="22" t="str">
        <f aca="false">IF(A711="","",YEAR(A711))</f>
        <v/>
      </c>
    </row>
    <row r="712" customFormat="false" ht="15" hidden="false" customHeight="false" outlineLevel="0" collapsed="false">
      <c r="A712" s="23"/>
      <c r="B712" s="24"/>
      <c r="C712" s="24"/>
      <c r="D712" s="20" t="str">
        <f aca="false">IF(C712="","",IF(COUNTIF(ตั้งค่า!$A$7:$A$18,C712)&gt;0,"รายรับ",IF(COUNTIF(ตั้งค่า!$C$7:$C$31,C712)&gt;0,"รายจ่าย","ไม่พบหมวดหมู่")))</f>
        <v/>
      </c>
      <c r="E712" s="25"/>
      <c r="F712" s="24"/>
      <c r="G712" s="24"/>
      <c r="H712" s="21" t="n">
        <f aca="false">IF(OR(E712="",D712&lt;&gt;"รายรับ"),0,E712)</f>
        <v>0</v>
      </c>
      <c r="I712" s="21" t="n">
        <f aca="false">IF(OR(E712="",D712&lt;&gt;"รายจ่าย"),0,E712)</f>
        <v>0</v>
      </c>
      <c r="J712" s="21" t="str">
        <f aca="false">IF(E712="","",ตั้งค่า!$B$4+SUM($H$5:H712)-SUM($I$5:I712))</f>
        <v/>
      </c>
      <c r="K712" s="22" t="str">
        <f aca="false">IF(A712="","",MONTH(A712))</f>
        <v/>
      </c>
      <c r="L712" s="22" t="str">
        <f aca="false">IF(A712="","",YEAR(A712))</f>
        <v/>
      </c>
    </row>
    <row r="713" customFormat="false" ht="15" hidden="false" customHeight="false" outlineLevel="0" collapsed="false">
      <c r="A713" s="23"/>
      <c r="B713" s="24"/>
      <c r="C713" s="24"/>
      <c r="D713" s="20" t="str">
        <f aca="false">IF(C713="","",IF(COUNTIF(ตั้งค่า!$A$7:$A$18,C713)&gt;0,"รายรับ",IF(COUNTIF(ตั้งค่า!$C$7:$C$31,C713)&gt;0,"รายจ่าย","ไม่พบหมวดหมู่")))</f>
        <v/>
      </c>
      <c r="E713" s="25"/>
      <c r="F713" s="24"/>
      <c r="G713" s="24"/>
      <c r="H713" s="21" t="n">
        <f aca="false">IF(OR(E713="",D713&lt;&gt;"รายรับ"),0,E713)</f>
        <v>0</v>
      </c>
      <c r="I713" s="21" t="n">
        <f aca="false">IF(OR(E713="",D713&lt;&gt;"รายจ่าย"),0,E713)</f>
        <v>0</v>
      </c>
      <c r="J713" s="21" t="str">
        <f aca="false">IF(E713="","",ตั้งค่า!$B$4+SUM($H$5:H713)-SUM($I$5:I713))</f>
        <v/>
      </c>
      <c r="K713" s="22" t="str">
        <f aca="false">IF(A713="","",MONTH(A713))</f>
        <v/>
      </c>
      <c r="L713" s="22" t="str">
        <f aca="false">IF(A713="","",YEAR(A713))</f>
        <v/>
      </c>
    </row>
    <row r="714" customFormat="false" ht="15" hidden="false" customHeight="false" outlineLevel="0" collapsed="false">
      <c r="A714" s="23"/>
      <c r="B714" s="24"/>
      <c r="C714" s="24"/>
      <c r="D714" s="20" t="str">
        <f aca="false">IF(C714="","",IF(COUNTIF(ตั้งค่า!$A$7:$A$18,C714)&gt;0,"รายรับ",IF(COUNTIF(ตั้งค่า!$C$7:$C$31,C714)&gt;0,"รายจ่าย","ไม่พบหมวดหมู่")))</f>
        <v/>
      </c>
      <c r="E714" s="25"/>
      <c r="F714" s="24"/>
      <c r="G714" s="24"/>
      <c r="H714" s="21" t="n">
        <f aca="false">IF(OR(E714="",D714&lt;&gt;"รายรับ"),0,E714)</f>
        <v>0</v>
      </c>
      <c r="I714" s="21" t="n">
        <f aca="false">IF(OR(E714="",D714&lt;&gt;"รายจ่าย"),0,E714)</f>
        <v>0</v>
      </c>
      <c r="J714" s="21" t="str">
        <f aca="false">IF(E714="","",ตั้งค่า!$B$4+SUM($H$5:H714)-SUM($I$5:I714))</f>
        <v/>
      </c>
      <c r="K714" s="22" t="str">
        <f aca="false">IF(A714="","",MONTH(A714))</f>
        <v/>
      </c>
      <c r="L714" s="22" t="str">
        <f aca="false">IF(A714="","",YEAR(A714))</f>
        <v/>
      </c>
    </row>
    <row r="715" customFormat="false" ht="15" hidden="false" customHeight="false" outlineLevel="0" collapsed="false">
      <c r="A715" s="23"/>
      <c r="B715" s="24"/>
      <c r="C715" s="24"/>
      <c r="D715" s="20" t="str">
        <f aca="false">IF(C715="","",IF(COUNTIF(ตั้งค่า!$A$7:$A$18,C715)&gt;0,"รายรับ",IF(COUNTIF(ตั้งค่า!$C$7:$C$31,C715)&gt;0,"รายจ่าย","ไม่พบหมวดหมู่")))</f>
        <v/>
      </c>
      <c r="E715" s="25"/>
      <c r="F715" s="24"/>
      <c r="G715" s="24"/>
      <c r="H715" s="21" t="n">
        <f aca="false">IF(OR(E715="",D715&lt;&gt;"รายรับ"),0,E715)</f>
        <v>0</v>
      </c>
      <c r="I715" s="21" t="n">
        <f aca="false">IF(OR(E715="",D715&lt;&gt;"รายจ่าย"),0,E715)</f>
        <v>0</v>
      </c>
      <c r="J715" s="21" t="str">
        <f aca="false">IF(E715="","",ตั้งค่า!$B$4+SUM($H$5:H715)-SUM($I$5:I715))</f>
        <v/>
      </c>
      <c r="K715" s="22" t="str">
        <f aca="false">IF(A715="","",MONTH(A715))</f>
        <v/>
      </c>
      <c r="L715" s="22" t="str">
        <f aca="false">IF(A715="","",YEAR(A715))</f>
        <v/>
      </c>
    </row>
    <row r="716" customFormat="false" ht="15" hidden="false" customHeight="false" outlineLevel="0" collapsed="false">
      <c r="A716" s="23"/>
      <c r="B716" s="24"/>
      <c r="C716" s="24"/>
      <c r="D716" s="20" t="str">
        <f aca="false">IF(C716="","",IF(COUNTIF(ตั้งค่า!$A$7:$A$18,C716)&gt;0,"รายรับ",IF(COUNTIF(ตั้งค่า!$C$7:$C$31,C716)&gt;0,"รายจ่าย","ไม่พบหมวดหมู่")))</f>
        <v/>
      </c>
      <c r="E716" s="25"/>
      <c r="F716" s="24"/>
      <c r="G716" s="24"/>
      <c r="H716" s="21" t="n">
        <f aca="false">IF(OR(E716="",D716&lt;&gt;"รายรับ"),0,E716)</f>
        <v>0</v>
      </c>
      <c r="I716" s="21" t="n">
        <f aca="false">IF(OR(E716="",D716&lt;&gt;"รายจ่าย"),0,E716)</f>
        <v>0</v>
      </c>
      <c r="J716" s="21" t="str">
        <f aca="false">IF(E716="","",ตั้งค่า!$B$4+SUM($H$5:H716)-SUM($I$5:I716))</f>
        <v/>
      </c>
      <c r="K716" s="22" t="str">
        <f aca="false">IF(A716="","",MONTH(A716))</f>
        <v/>
      </c>
      <c r="L716" s="22" t="str">
        <f aca="false">IF(A716="","",YEAR(A716))</f>
        <v/>
      </c>
    </row>
    <row r="717" customFormat="false" ht="15" hidden="false" customHeight="false" outlineLevel="0" collapsed="false">
      <c r="A717" s="23"/>
      <c r="B717" s="24"/>
      <c r="C717" s="24"/>
      <c r="D717" s="20" t="str">
        <f aca="false">IF(C717="","",IF(COUNTIF(ตั้งค่า!$A$7:$A$18,C717)&gt;0,"รายรับ",IF(COUNTIF(ตั้งค่า!$C$7:$C$31,C717)&gt;0,"รายจ่าย","ไม่พบหมวดหมู่")))</f>
        <v/>
      </c>
      <c r="E717" s="25"/>
      <c r="F717" s="24"/>
      <c r="G717" s="24"/>
      <c r="H717" s="21" t="n">
        <f aca="false">IF(OR(E717="",D717&lt;&gt;"รายรับ"),0,E717)</f>
        <v>0</v>
      </c>
      <c r="I717" s="21" t="n">
        <f aca="false">IF(OR(E717="",D717&lt;&gt;"รายจ่าย"),0,E717)</f>
        <v>0</v>
      </c>
      <c r="J717" s="21" t="str">
        <f aca="false">IF(E717="","",ตั้งค่า!$B$4+SUM($H$5:H717)-SUM($I$5:I717))</f>
        <v/>
      </c>
      <c r="K717" s="22" t="str">
        <f aca="false">IF(A717="","",MONTH(A717))</f>
        <v/>
      </c>
      <c r="L717" s="22" t="str">
        <f aca="false">IF(A717="","",YEAR(A717))</f>
        <v/>
      </c>
    </row>
    <row r="718" customFormat="false" ht="15" hidden="false" customHeight="false" outlineLevel="0" collapsed="false">
      <c r="A718" s="23"/>
      <c r="B718" s="24"/>
      <c r="C718" s="24"/>
      <c r="D718" s="20" t="str">
        <f aca="false">IF(C718="","",IF(COUNTIF(ตั้งค่า!$A$7:$A$18,C718)&gt;0,"รายรับ",IF(COUNTIF(ตั้งค่า!$C$7:$C$31,C718)&gt;0,"รายจ่าย","ไม่พบหมวดหมู่")))</f>
        <v/>
      </c>
      <c r="E718" s="25"/>
      <c r="F718" s="24"/>
      <c r="G718" s="24"/>
      <c r="H718" s="21" t="n">
        <f aca="false">IF(OR(E718="",D718&lt;&gt;"รายรับ"),0,E718)</f>
        <v>0</v>
      </c>
      <c r="I718" s="21" t="n">
        <f aca="false">IF(OR(E718="",D718&lt;&gt;"รายจ่าย"),0,E718)</f>
        <v>0</v>
      </c>
      <c r="J718" s="21" t="str">
        <f aca="false">IF(E718="","",ตั้งค่า!$B$4+SUM($H$5:H718)-SUM($I$5:I718))</f>
        <v/>
      </c>
      <c r="K718" s="22" t="str">
        <f aca="false">IF(A718="","",MONTH(A718))</f>
        <v/>
      </c>
      <c r="L718" s="22" t="str">
        <f aca="false">IF(A718="","",YEAR(A718))</f>
        <v/>
      </c>
    </row>
    <row r="719" customFormat="false" ht="15" hidden="false" customHeight="false" outlineLevel="0" collapsed="false">
      <c r="A719" s="23"/>
      <c r="B719" s="24"/>
      <c r="C719" s="24"/>
      <c r="D719" s="20" t="str">
        <f aca="false">IF(C719="","",IF(COUNTIF(ตั้งค่า!$A$7:$A$18,C719)&gt;0,"รายรับ",IF(COUNTIF(ตั้งค่า!$C$7:$C$31,C719)&gt;0,"รายจ่าย","ไม่พบหมวดหมู่")))</f>
        <v/>
      </c>
      <c r="E719" s="25"/>
      <c r="F719" s="24"/>
      <c r="G719" s="24"/>
      <c r="H719" s="21" t="n">
        <f aca="false">IF(OR(E719="",D719&lt;&gt;"รายรับ"),0,E719)</f>
        <v>0</v>
      </c>
      <c r="I719" s="21" t="n">
        <f aca="false">IF(OR(E719="",D719&lt;&gt;"รายจ่าย"),0,E719)</f>
        <v>0</v>
      </c>
      <c r="J719" s="21" t="str">
        <f aca="false">IF(E719="","",ตั้งค่า!$B$4+SUM($H$5:H719)-SUM($I$5:I719))</f>
        <v/>
      </c>
      <c r="K719" s="22" t="str">
        <f aca="false">IF(A719="","",MONTH(A719))</f>
        <v/>
      </c>
      <c r="L719" s="22" t="str">
        <f aca="false">IF(A719="","",YEAR(A719))</f>
        <v/>
      </c>
    </row>
    <row r="720" customFormat="false" ht="15" hidden="false" customHeight="false" outlineLevel="0" collapsed="false">
      <c r="A720" s="23"/>
      <c r="B720" s="24"/>
      <c r="C720" s="24"/>
      <c r="D720" s="20" t="str">
        <f aca="false">IF(C720="","",IF(COUNTIF(ตั้งค่า!$A$7:$A$18,C720)&gt;0,"รายรับ",IF(COUNTIF(ตั้งค่า!$C$7:$C$31,C720)&gt;0,"รายจ่าย","ไม่พบหมวดหมู่")))</f>
        <v/>
      </c>
      <c r="E720" s="25"/>
      <c r="F720" s="24"/>
      <c r="G720" s="24"/>
      <c r="H720" s="21" t="n">
        <f aca="false">IF(OR(E720="",D720&lt;&gt;"รายรับ"),0,E720)</f>
        <v>0</v>
      </c>
      <c r="I720" s="21" t="n">
        <f aca="false">IF(OR(E720="",D720&lt;&gt;"รายจ่าย"),0,E720)</f>
        <v>0</v>
      </c>
      <c r="J720" s="21" t="str">
        <f aca="false">IF(E720="","",ตั้งค่า!$B$4+SUM($H$5:H720)-SUM($I$5:I720))</f>
        <v/>
      </c>
      <c r="K720" s="22" t="str">
        <f aca="false">IF(A720="","",MONTH(A720))</f>
        <v/>
      </c>
      <c r="L720" s="22" t="str">
        <f aca="false">IF(A720="","",YEAR(A720))</f>
        <v/>
      </c>
    </row>
    <row r="721" customFormat="false" ht="15" hidden="false" customHeight="false" outlineLevel="0" collapsed="false">
      <c r="A721" s="23"/>
      <c r="B721" s="24"/>
      <c r="C721" s="24"/>
      <c r="D721" s="20" t="str">
        <f aca="false">IF(C721="","",IF(COUNTIF(ตั้งค่า!$A$7:$A$18,C721)&gt;0,"รายรับ",IF(COUNTIF(ตั้งค่า!$C$7:$C$31,C721)&gt;0,"รายจ่าย","ไม่พบหมวดหมู่")))</f>
        <v/>
      </c>
      <c r="E721" s="25"/>
      <c r="F721" s="24"/>
      <c r="G721" s="24"/>
      <c r="H721" s="21" t="n">
        <f aca="false">IF(OR(E721="",D721&lt;&gt;"รายรับ"),0,E721)</f>
        <v>0</v>
      </c>
      <c r="I721" s="21" t="n">
        <f aca="false">IF(OR(E721="",D721&lt;&gt;"รายจ่าย"),0,E721)</f>
        <v>0</v>
      </c>
      <c r="J721" s="21" t="str">
        <f aca="false">IF(E721="","",ตั้งค่า!$B$4+SUM($H$5:H721)-SUM($I$5:I721))</f>
        <v/>
      </c>
      <c r="K721" s="22" t="str">
        <f aca="false">IF(A721="","",MONTH(A721))</f>
        <v/>
      </c>
      <c r="L721" s="22" t="str">
        <f aca="false">IF(A721="","",YEAR(A721))</f>
        <v/>
      </c>
    </row>
    <row r="722" customFormat="false" ht="15" hidden="false" customHeight="false" outlineLevel="0" collapsed="false">
      <c r="A722" s="23"/>
      <c r="B722" s="24"/>
      <c r="C722" s="24"/>
      <c r="D722" s="20" t="str">
        <f aca="false">IF(C722="","",IF(COUNTIF(ตั้งค่า!$A$7:$A$18,C722)&gt;0,"รายรับ",IF(COUNTIF(ตั้งค่า!$C$7:$C$31,C722)&gt;0,"รายจ่าย","ไม่พบหมวดหมู่")))</f>
        <v/>
      </c>
      <c r="E722" s="25"/>
      <c r="F722" s="24"/>
      <c r="G722" s="24"/>
      <c r="H722" s="21" t="n">
        <f aca="false">IF(OR(E722="",D722&lt;&gt;"รายรับ"),0,E722)</f>
        <v>0</v>
      </c>
      <c r="I722" s="21" t="n">
        <f aca="false">IF(OR(E722="",D722&lt;&gt;"รายจ่าย"),0,E722)</f>
        <v>0</v>
      </c>
      <c r="J722" s="21" t="str">
        <f aca="false">IF(E722="","",ตั้งค่า!$B$4+SUM($H$5:H722)-SUM($I$5:I722))</f>
        <v/>
      </c>
      <c r="K722" s="22" t="str">
        <f aca="false">IF(A722="","",MONTH(A722))</f>
        <v/>
      </c>
      <c r="L722" s="22" t="str">
        <f aca="false">IF(A722="","",YEAR(A722))</f>
        <v/>
      </c>
    </row>
    <row r="723" customFormat="false" ht="15" hidden="false" customHeight="false" outlineLevel="0" collapsed="false">
      <c r="A723" s="23"/>
      <c r="B723" s="24"/>
      <c r="C723" s="24"/>
      <c r="D723" s="20" t="str">
        <f aca="false">IF(C723="","",IF(COUNTIF(ตั้งค่า!$A$7:$A$18,C723)&gt;0,"รายรับ",IF(COUNTIF(ตั้งค่า!$C$7:$C$31,C723)&gt;0,"รายจ่าย","ไม่พบหมวดหมู่")))</f>
        <v/>
      </c>
      <c r="E723" s="25"/>
      <c r="F723" s="24"/>
      <c r="G723" s="24"/>
      <c r="H723" s="21" t="n">
        <f aca="false">IF(OR(E723="",D723&lt;&gt;"รายรับ"),0,E723)</f>
        <v>0</v>
      </c>
      <c r="I723" s="21" t="n">
        <f aca="false">IF(OR(E723="",D723&lt;&gt;"รายจ่าย"),0,E723)</f>
        <v>0</v>
      </c>
      <c r="J723" s="21" t="str">
        <f aca="false">IF(E723="","",ตั้งค่า!$B$4+SUM($H$5:H723)-SUM($I$5:I723))</f>
        <v/>
      </c>
      <c r="K723" s="22" t="str">
        <f aca="false">IF(A723="","",MONTH(A723))</f>
        <v/>
      </c>
      <c r="L723" s="22" t="str">
        <f aca="false">IF(A723="","",YEAR(A723))</f>
        <v/>
      </c>
    </row>
    <row r="724" customFormat="false" ht="15" hidden="false" customHeight="false" outlineLevel="0" collapsed="false">
      <c r="A724" s="23"/>
      <c r="B724" s="24"/>
      <c r="C724" s="24"/>
      <c r="D724" s="20" t="str">
        <f aca="false">IF(C724="","",IF(COUNTIF(ตั้งค่า!$A$7:$A$18,C724)&gt;0,"รายรับ",IF(COUNTIF(ตั้งค่า!$C$7:$C$31,C724)&gt;0,"รายจ่าย","ไม่พบหมวดหมู่")))</f>
        <v/>
      </c>
      <c r="E724" s="25"/>
      <c r="F724" s="24"/>
      <c r="G724" s="24"/>
      <c r="H724" s="21" t="n">
        <f aca="false">IF(OR(E724="",D724&lt;&gt;"รายรับ"),0,E724)</f>
        <v>0</v>
      </c>
      <c r="I724" s="21" t="n">
        <f aca="false">IF(OR(E724="",D724&lt;&gt;"รายจ่าย"),0,E724)</f>
        <v>0</v>
      </c>
      <c r="J724" s="21" t="str">
        <f aca="false">IF(E724="","",ตั้งค่า!$B$4+SUM($H$5:H724)-SUM($I$5:I724))</f>
        <v/>
      </c>
      <c r="K724" s="22" t="str">
        <f aca="false">IF(A724="","",MONTH(A724))</f>
        <v/>
      </c>
      <c r="L724" s="22" t="str">
        <f aca="false">IF(A724="","",YEAR(A724))</f>
        <v/>
      </c>
    </row>
    <row r="725" customFormat="false" ht="15" hidden="false" customHeight="false" outlineLevel="0" collapsed="false">
      <c r="A725" s="23"/>
      <c r="B725" s="24"/>
      <c r="C725" s="24"/>
      <c r="D725" s="20" t="str">
        <f aca="false">IF(C725="","",IF(COUNTIF(ตั้งค่า!$A$7:$A$18,C725)&gt;0,"รายรับ",IF(COUNTIF(ตั้งค่า!$C$7:$C$31,C725)&gt;0,"รายจ่าย","ไม่พบหมวดหมู่")))</f>
        <v/>
      </c>
      <c r="E725" s="25"/>
      <c r="F725" s="24"/>
      <c r="G725" s="24"/>
      <c r="H725" s="21" t="n">
        <f aca="false">IF(OR(E725="",D725&lt;&gt;"รายรับ"),0,E725)</f>
        <v>0</v>
      </c>
      <c r="I725" s="21" t="n">
        <f aca="false">IF(OR(E725="",D725&lt;&gt;"รายจ่าย"),0,E725)</f>
        <v>0</v>
      </c>
      <c r="J725" s="21" t="str">
        <f aca="false">IF(E725="","",ตั้งค่า!$B$4+SUM($H$5:H725)-SUM($I$5:I725))</f>
        <v/>
      </c>
      <c r="K725" s="22" t="str">
        <f aca="false">IF(A725="","",MONTH(A725))</f>
        <v/>
      </c>
      <c r="L725" s="22" t="str">
        <f aca="false">IF(A725="","",YEAR(A725))</f>
        <v/>
      </c>
    </row>
    <row r="726" customFormat="false" ht="15" hidden="false" customHeight="false" outlineLevel="0" collapsed="false">
      <c r="A726" s="23"/>
      <c r="B726" s="24"/>
      <c r="C726" s="24"/>
      <c r="D726" s="20" t="str">
        <f aca="false">IF(C726="","",IF(COUNTIF(ตั้งค่า!$A$7:$A$18,C726)&gt;0,"รายรับ",IF(COUNTIF(ตั้งค่า!$C$7:$C$31,C726)&gt;0,"รายจ่าย","ไม่พบหมวดหมู่")))</f>
        <v/>
      </c>
      <c r="E726" s="25"/>
      <c r="F726" s="24"/>
      <c r="G726" s="24"/>
      <c r="H726" s="21" t="n">
        <f aca="false">IF(OR(E726="",D726&lt;&gt;"รายรับ"),0,E726)</f>
        <v>0</v>
      </c>
      <c r="I726" s="21" t="n">
        <f aca="false">IF(OR(E726="",D726&lt;&gt;"รายจ่าย"),0,E726)</f>
        <v>0</v>
      </c>
      <c r="J726" s="21" t="str">
        <f aca="false">IF(E726="","",ตั้งค่า!$B$4+SUM($H$5:H726)-SUM($I$5:I726))</f>
        <v/>
      </c>
      <c r="K726" s="22" t="str">
        <f aca="false">IF(A726="","",MONTH(A726))</f>
        <v/>
      </c>
      <c r="L726" s="22" t="str">
        <f aca="false">IF(A726="","",YEAR(A726))</f>
        <v/>
      </c>
    </row>
    <row r="727" customFormat="false" ht="15" hidden="false" customHeight="false" outlineLevel="0" collapsed="false">
      <c r="A727" s="23"/>
      <c r="B727" s="24"/>
      <c r="C727" s="24"/>
      <c r="D727" s="20" t="str">
        <f aca="false">IF(C727="","",IF(COUNTIF(ตั้งค่า!$A$7:$A$18,C727)&gt;0,"รายรับ",IF(COUNTIF(ตั้งค่า!$C$7:$C$31,C727)&gt;0,"รายจ่าย","ไม่พบหมวดหมู่")))</f>
        <v/>
      </c>
      <c r="E727" s="25"/>
      <c r="F727" s="24"/>
      <c r="G727" s="24"/>
      <c r="H727" s="21" t="n">
        <f aca="false">IF(OR(E727="",D727&lt;&gt;"รายรับ"),0,E727)</f>
        <v>0</v>
      </c>
      <c r="I727" s="21" t="n">
        <f aca="false">IF(OR(E727="",D727&lt;&gt;"รายจ่าย"),0,E727)</f>
        <v>0</v>
      </c>
      <c r="J727" s="21" t="str">
        <f aca="false">IF(E727="","",ตั้งค่า!$B$4+SUM($H$5:H727)-SUM($I$5:I727))</f>
        <v/>
      </c>
      <c r="K727" s="22" t="str">
        <f aca="false">IF(A727="","",MONTH(A727))</f>
        <v/>
      </c>
      <c r="L727" s="22" t="str">
        <f aca="false">IF(A727="","",YEAR(A727))</f>
        <v/>
      </c>
    </row>
    <row r="728" customFormat="false" ht="15" hidden="false" customHeight="false" outlineLevel="0" collapsed="false">
      <c r="A728" s="23"/>
      <c r="B728" s="24"/>
      <c r="C728" s="24"/>
      <c r="D728" s="20" t="str">
        <f aca="false">IF(C728="","",IF(COUNTIF(ตั้งค่า!$A$7:$A$18,C728)&gt;0,"รายรับ",IF(COUNTIF(ตั้งค่า!$C$7:$C$31,C728)&gt;0,"รายจ่าย","ไม่พบหมวดหมู่")))</f>
        <v/>
      </c>
      <c r="E728" s="25"/>
      <c r="F728" s="24"/>
      <c r="G728" s="24"/>
      <c r="H728" s="21" t="n">
        <f aca="false">IF(OR(E728="",D728&lt;&gt;"รายรับ"),0,E728)</f>
        <v>0</v>
      </c>
      <c r="I728" s="21" t="n">
        <f aca="false">IF(OR(E728="",D728&lt;&gt;"รายจ่าย"),0,E728)</f>
        <v>0</v>
      </c>
      <c r="J728" s="21" t="str">
        <f aca="false">IF(E728="","",ตั้งค่า!$B$4+SUM($H$5:H728)-SUM($I$5:I728))</f>
        <v/>
      </c>
      <c r="K728" s="22" t="str">
        <f aca="false">IF(A728="","",MONTH(A728))</f>
        <v/>
      </c>
      <c r="L728" s="22" t="str">
        <f aca="false">IF(A728="","",YEAR(A728))</f>
        <v/>
      </c>
    </row>
    <row r="729" customFormat="false" ht="15" hidden="false" customHeight="false" outlineLevel="0" collapsed="false">
      <c r="A729" s="23"/>
      <c r="B729" s="24"/>
      <c r="C729" s="24"/>
      <c r="D729" s="20" t="str">
        <f aca="false">IF(C729="","",IF(COUNTIF(ตั้งค่า!$A$7:$A$18,C729)&gt;0,"รายรับ",IF(COUNTIF(ตั้งค่า!$C$7:$C$31,C729)&gt;0,"รายจ่าย","ไม่พบหมวดหมู่")))</f>
        <v/>
      </c>
      <c r="E729" s="25"/>
      <c r="F729" s="24"/>
      <c r="G729" s="24"/>
      <c r="H729" s="21" t="n">
        <f aca="false">IF(OR(E729="",D729&lt;&gt;"รายรับ"),0,E729)</f>
        <v>0</v>
      </c>
      <c r="I729" s="21" t="n">
        <f aca="false">IF(OR(E729="",D729&lt;&gt;"รายจ่าย"),0,E729)</f>
        <v>0</v>
      </c>
      <c r="J729" s="21" t="str">
        <f aca="false">IF(E729="","",ตั้งค่า!$B$4+SUM($H$5:H729)-SUM($I$5:I729))</f>
        <v/>
      </c>
      <c r="K729" s="22" t="str">
        <f aca="false">IF(A729="","",MONTH(A729))</f>
        <v/>
      </c>
      <c r="L729" s="22" t="str">
        <f aca="false">IF(A729="","",YEAR(A729))</f>
        <v/>
      </c>
    </row>
    <row r="730" customFormat="false" ht="15" hidden="false" customHeight="false" outlineLevel="0" collapsed="false">
      <c r="A730" s="23"/>
      <c r="B730" s="24"/>
      <c r="C730" s="24"/>
      <c r="D730" s="20" t="str">
        <f aca="false">IF(C730="","",IF(COUNTIF(ตั้งค่า!$A$7:$A$18,C730)&gt;0,"รายรับ",IF(COUNTIF(ตั้งค่า!$C$7:$C$31,C730)&gt;0,"รายจ่าย","ไม่พบหมวดหมู่")))</f>
        <v/>
      </c>
      <c r="E730" s="25"/>
      <c r="F730" s="24"/>
      <c r="G730" s="24"/>
      <c r="H730" s="21" t="n">
        <f aca="false">IF(OR(E730="",D730&lt;&gt;"รายรับ"),0,E730)</f>
        <v>0</v>
      </c>
      <c r="I730" s="21" t="n">
        <f aca="false">IF(OR(E730="",D730&lt;&gt;"รายจ่าย"),0,E730)</f>
        <v>0</v>
      </c>
      <c r="J730" s="21" t="str">
        <f aca="false">IF(E730="","",ตั้งค่า!$B$4+SUM($H$5:H730)-SUM($I$5:I730))</f>
        <v/>
      </c>
      <c r="K730" s="22" t="str">
        <f aca="false">IF(A730="","",MONTH(A730))</f>
        <v/>
      </c>
      <c r="L730" s="22" t="str">
        <f aca="false">IF(A730="","",YEAR(A730))</f>
        <v/>
      </c>
    </row>
    <row r="731" customFormat="false" ht="15" hidden="false" customHeight="false" outlineLevel="0" collapsed="false">
      <c r="A731" s="23"/>
      <c r="B731" s="24"/>
      <c r="C731" s="24"/>
      <c r="D731" s="20" t="str">
        <f aca="false">IF(C731="","",IF(COUNTIF(ตั้งค่า!$A$7:$A$18,C731)&gt;0,"รายรับ",IF(COUNTIF(ตั้งค่า!$C$7:$C$31,C731)&gt;0,"รายจ่าย","ไม่พบหมวดหมู่")))</f>
        <v/>
      </c>
      <c r="E731" s="25"/>
      <c r="F731" s="24"/>
      <c r="G731" s="24"/>
      <c r="H731" s="21" t="n">
        <f aca="false">IF(OR(E731="",D731&lt;&gt;"รายรับ"),0,E731)</f>
        <v>0</v>
      </c>
      <c r="I731" s="21" t="n">
        <f aca="false">IF(OR(E731="",D731&lt;&gt;"รายจ่าย"),0,E731)</f>
        <v>0</v>
      </c>
      <c r="J731" s="21" t="str">
        <f aca="false">IF(E731="","",ตั้งค่า!$B$4+SUM($H$5:H731)-SUM($I$5:I731))</f>
        <v/>
      </c>
      <c r="K731" s="22" t="str">
        <f aca="false">IF(A731="","",MONTH(A731))</f>
        <v/>
      </c>
      <c r="L731" s="22" t="str">
        <f aca="false">IF(A731="","",YEAR(A731))</f>
        <v/>
      </c>
    </row>
    <row r="732" customFormat="false" ht="15" hidden="false" customHeight="false" outlineLevel="0" collapsed="false">
      <c r="A732" s="23"/>
      <c r="B732" s="24"/>
      <c r="C732" s="24"/>
      <c r="D732" s="20" t="str">
        <f aca="false">IF(C732="","",IF(COUNTIF(ตั้งค่า!$A$7:$A$18,C732)&gt;0,"รายรับ",IF(COUNTIF(ตั้งค่า!$C$7:$C$31,C732)&gt;0,"รายจ่าย","ไม่พบหมวดหมู่")))</f>
        <v/>
      </c>
      <c r="E732" s="25"/>
      <c r="F732" s="24"/>
      <c r="G732" s="24"/>
      <c r="H732" s="21" t="n">
        <f aca="false">IF(OR(E732="",D732&lt;&gt;"รายรับ"),0,E732)</f>
        <v>0</v>
      </c>
      <c r="I732" s="21" t="n">
        <f aca="false">IF(OR(E732="",D732&lt;&gt;"รายจ่าย"),0,E732)</f>
        <v>0</v>
      </c>
      <c r="J732" s="21" t="str">
        <f aca="false">IF(E732="","",ตั้งค่า!$B$4+SUM($H$5:H732)-SUM($I$5:I732))</f>
        <v/>
      </c>
      <c r="K732" s="22" t="str">
        <f aca="false">IF(A732="","",MONTH(A732))</f>
        <v/>
      </c>
      <c r="L732" s="22" t="str">
        <f aca="false">IF(A732="","",YEAR(A732))</f>
        <v/>
      </c>
    </row>
    <row r="733" customFormat="false" ht="15" hidden="false" customHeight="false" outlineLevel="0" collapsed="false">
      <c r="A733" s="23"/>
      <c r="B733" s="24"/>
      <c r="C733" s="24"/>
      <c r="D733" s="20" t="str">
        <f aca="false">IF(C733="","",IF(COUNTIF(ตั้งค่า!$A$7:$A$18,C733)&gt;0,"รายรับ",IF(COUNTIF(ตั้งค่า!$C$7:$C$31,C733)&gt;0,"รายจ่าย","ไม่พบหมวดหมู่")))</f>
        <v/>
      </c>
      <c r="E733" s="25"/>
      <c r="F733" s="24"/>
      <c r="G733" s="24"/>
      <c r="H733" s="21" t="n">
        <f aca="false">IF(OR(E733="",D733&lt;&gt;"รายรับ"),0,E733)</f>
        <v>0</v>
      </c>
      <c r="I733" s="21" t="n">
        <f aca="false">IF(OR(E733="",D733&lt;&gt;"รายจ่าย"),0,E733)</f>
        <v>0</v>
      </c>
      <c r="J733" s="21" t="str">
        <f aca="false">IF(E733="","",ตั้งค่า!$B$4+SUM($H$5:H733)-SUM($I$5:I733))</f>
        <v/>
      </c>
      <c r="K733" s="22" t="str">
        <f aca="false">IF(A733="","",MONTH(A733))</f>
        <v/>
      </c>
      <c r="L733" s="22" t="str">
        <f aca="false">IF(A733="","",YEAR(A733))</f>
        <v/>
      </c>
    </row>
    <row r="734" customFormat="false" ht="15" hidden="false" customHeight="false" outlineLevel="0" collapsed="false">
      <c r="A734" s="23"/>
      <c r="B734" s="24"/>
      <c r="C734" s="24"/>
      <c r="D734" s="20" t="str">
        <f aca="false">IF(C734="","",IF(COUNTIF(ตั้งค่า!$A$7:$A$18,C734)&gt;0,"รายรับ",IF(COUNTIF(ตั้งค่า!$C$7:$C$31,C734)&gt;0,"รายจ่าย","ไม่พบหมวดหมู่")))</f>
        <v/>
      </c>
      <c r="E734" s="25"/>
      <c r="F734" s="24"/>
      <c r="G734" s="24"/>
      <c r="H734" s="21" t="n">
        <f aca="false">IF(OR(E734="",D734&lt;&gt;"รายรับ"),0,E734)</f>
        <v>0</v>
      </c>
      <c r="I734" s="21" t="n">
        <f aca="false">IF(OR(E734="",D734&lt;&gt;"รายจ่าย"),0,E734)</f>
        <v>0</v>
      </c>
      <c r="J734" s="21" t="str">
        <f aca="false">IF(E734="","",ตั้งค่า!$B$4+SUM($H$5:H734)-SUM($I$5:I734))</f>
        <v/>
      </c>
      <c r="K734" s="22" t="str">
        <f aca="false">IF(A734="","",MONTH(A734))</f>
        <v/>
      </c>
      <c r="L734" s="22" t="str">
        <f aca="false">IF(A734="","",YEAR(A734))</f>
        <v/>
      </c>
    </row>
    <row r="735" customFormat="false" ht="15" hidden="false" customHeight="false" outlineLevel="0" collapsed="false">
      <c r="A735" s="23"/>
      <c r="B735" s="24"/>
      <c r="C735" s="24"/>
      <c r="D735" s="20" t="str">
        <f aca="false">IF(C735="","",IF(COUNTIF(ตั้งค่า!$A$7:$A$18,C735)&gt;0,"รายรับ",IF(COUNTIF(ตั้งค่า!$C$7:$C$31,C735)&gt;0,"รายจ่าย","ไม่พบหมวดหมู่")))</f>
        <v/>
      </c>
      <c r="E735" s="25"/>
      <c r="F735" s="24"/>
      <c r="G735" s="24"/>
      <c r="H735" s="21" t="n">
        <f aca="false">IF(OR(E735="",D735&lt;&gt;"รายรับ"),0,E735)</f>
        <v>0</v>
      </c>
      <c r="I735" s="21" t="n">
        <f aca="false">IF(OR(E735="",D735&lt;&gt;"รายจ่าย"),0,E735)</f>
        <v>0</v>
      </c>
      <c r="J735" s="21" t="str">
        <f aca="false">IF(E735="","",ตั้งค่า!$B$4+SUM($H$5:H735)-SUM($I$5:I735))</f>
        <v/>
      </c>
      <c r="K735" s="22" t="str">
        <f aca="false">IF(A735="","",MONTH(A735))</f>
        <v/>
      </c>
      <c r="L735" s="22" t="str">
        <f aca="false">IF(A735="","",YEAR(A735))</f>
        <v/>
      </c>
    </row>
    <row r="736" customFormat="false" ht="15" hidden="false" customHeight="false" outlineLevel="0" collapsed="false">
      <c r="A736" s="23"/>
      <c r="B736" s="24"/>
      <c r="C736" s="24"/>
      <c r="D736" s="20" t="str">
        <f aca="false">IF(C736="","",IF(COUNTIF(ตั้งค่า!$A$7:$A$18,C736)&gt;0,"รายรับ",IF(COUNTIF(ตั้งค่า!$C$7:$C$31,C736)&gt;0,"รายจ่าย","ไม่พบหมวดหมู่")))</f>
        <v/>
      </c>
      <c r="E736" s="25"/>
      <c r="F736" s="24"/>
      <c r="G736" s="24"/>
      <c r="H736" s="21" t="n">
        <f aca="false">IF(OR(E736="",D736&lt;&gt;"รายรับ"),0,E736)</f>
        <v>0</v>
      </c>
      <c r="I736" s="21" t="n">
        <f aca="false">IF(OR(E736="",D736&lt;&gt;"รายจ่าย"),0,E736)</f>
        <v>0</v>
      </c>
      <c r="J736" s="21" t="str">
        <f aca="false">IF(E736="","",ตั้งค่า!$B$4+SUM($H$5:H736)-SUM($I$5:I736))</f>
        <v/>
      </c>
      <c r="K736" s="22" t="str">
        <f aca="false">IF(A736="","",MONTH(A736))</f>
        <v/>
      </c>
      <c r="L736" s="22" t="str">
        <f aca="false">IF(A736="","",YEAR(A736))</f>
        <v/>
      </c>
    </row>
    <row r="737" customFormat="false" ht="15" hidden="false" customHeight="false" outlineLevel="0" collapsed="false">
      <c r="A737" s="23"/>
      <c r="B737" s="24"/>
      <c r="C737" s="24"/>
      <c r="D737" s="20" t="str">
        <f aca="false">IF(C737="","",IF(COUNTIF(ตั้งค่า!$A$7:$A$18,C737)&gt;0,"รายรับ",IF(COUNTIF(ตั้งค่า!$C$7:$C$31,C737)&gt;0,"รายจ่าย","ไม่พบหมวดหมู่")))</f>
        <v/>
      </c>
      <c r="E737" s="25"/>
      <c r="F737" s="24"/>
      <c r="G737" s="24"/>
      <c r="H737" s="21" t="n">
        <f aca="false">IF(OR(E737="",D737&lt;&gt;"รายรับ"),0,E737)</f>
        <v>0</v>
      </c>
      <c r="I737" s="21" t="n">
        <f aca="false">IF(OR(E737="",D737&lt;&gt;"รายจ่าย"),0,E737)</f>
        <v>0</v>
      </c>
      <c r="J737" s="21" t="str">
        <f aca="false">IF(E737="","",ตั้งค่า!$B$4+SUM($H$5:H737)-SUM($I$5:I737))</f>
        <v/>
      </c>
      <c r="K737" s="22" t="str">
        <f aca="false">IF(A737="","",MONTH(A737))</f>
        <v/>
      </c>
      <c r="L737" s="22" t="str">
        <f aca="false">IF(A737="","",YEAR(A737))</f>
        <v/>
      </c>
    </row>
    <row r="738" customFormat="false" ht="15" hidden="false" customHeight="false" outlineLevel="0" collapsed="false">
      <c r="A738" s="23"/>
      <c r="B738" s="24"/>
      <c r="C738" s="24"/>
      <c r="D738" s="20" t="str">
        <f aca="false">IF(C738="","",IF(COUNTIF(ตั้งค่า!$A$7:$A$18,C738)&gt;0,"รายรับ",IF(COUNTIF(ตั้งค่า!$C$7:$C$31,C738)&gt;0,"รายจ่าย","ไม่พบหมวดหมู่")))</f>
        <v/>
      </c>
      <c r="E738" s="25"/>
      <c r="F738" s="24"/>
      <c r="G738" s="24"/>
      <c r="H738" s="21" t="n">
        <f aca="false">IF(OR(E738="",D738&lt;&gt;"รายรับ"),0,E738)</f>
        <v>0</v>
      </c>
      <c r="I738" s="21" t="n">
        <f aca="false">IF(OR(E738="",D738&lt;&gt;"รายจ่าย"),0,E738)</f>
        <v>0</v>
      </c>
      <c r="J738" s="21" t="str">
        <f aca="false">IF(E738="","",ตั้งค่า!$B$4+SUM($H$5:H738)-SUM($I$5:I738))</f>
        <v/>
      </c>
      <c r="K738" s="22" t="str">
        <f aca="false">IF(A738="","",MONTH(A738))</f>
        <v/>
      </c>
      <c r="L738" s="22" t="str">
        <f aca="false">IF(A738="","",YEAR(A738))</f>
        <v/>
      </c>
    </row>
    <row r="739" customFormat="false" ht="15" hidden="false" customHeight="false" outlineLevel="0" collapsed="false">
      <c r="A739" s="23"/>
      <c r="B739" s="24"/>
      <c r="C739" s="24"/>
      <c r="D739" s="20" t="str">
        <f aca="false">IF(C739="","",IF(COUNTIF(ตั้งค่า!$A$7:$A$18,C739)&gt;0,"รายรับ",IF(COUNTIF(ตั้งค่า!$C$7:$C$31,C739)&gt;0,"รายจ่าย","ไม่พบหมวดหมู่")))</f>
        <v/>
      </c>
      <c r="E739" s="25"/>
      <c r="F739" s="24"/>
      <c r="G739" s="24"/>
      <c r="H739" s="21" t="n">
        <f aca="false">IF(OR(E739="",D739&lt;&gt;"รายรับ"),0,E739)</f>
        <v>0</v>
      </c>
      <c r="I739" s="21" t="n">
        <f aca="false">IF(OR(E739="",D739&lt;&gt;"รายจ่าย"),0,E739)</f>
        <v>0</v>
      </c>
      <c r="J739" s="21" t="str">
        <f aca="false">IF(E739="","",ตั้งค่า!$B$4+SUM($H$5:H739)-SUM($I$5:I739))</f>
        <v/>
      </c>
      <c r="K739" s="22" t="str">
        <f aca="false">IF(A739="","",MONTH(A739))</f>
        <v/>
      </c>
      <c r="L739" s="22" t="str">
        <f aca="false">IF(A739="","",YEAR(A739))</f>
        <v/>
      </c>
    </row>
    <row r="740" customFormat="false" ht="15" hidden="false" customHeight="false" outlineLevel="0" collapsed="false">
      <c r="A740" s="23"/>
      <c r="B740" s="24"/>
      <c r="C740" s="24"/>
      <c r="D740" s="20" t="str">
        <f aca="false">IF(C740="","",IF(COUNTIF(ตั้งค่า!$A$7:$A$18,C740)&gt;0,"รายรับ",IF(COUNTIF(ตั้งค่า!$C$7:$C$31,C740)&gt;0,"รายจ่าย","ไม่พบหมวดหมู่")))</f>
        <v/>
      </c>
      <c r="E740" s="25"/>
      <c r="F740" s="24"/>
      <c r="G740" s="24"/>
      <c r="H740" s="21" t="n">
        <f aca="false">IF(OR(E740="",D740&lt;&gt;"รายรับ"),0,E740)</f>
        <v>0</v>
      </c>
      <c r="I740" s="21" t="n">
        <f aca="false">IF(OR(E740="",D740&lt;&gt;"รายจ่าย"),0,E740)</f>
        <v>0</v>
      </c>
      <c r="J740" s="21" t="str">
        <f aca="false">IF(E740="","",ตั้งค่า!$B$4+SUM($H$5:H740)-SUM($I$5:I740))</f>
        <v/>
      </c>
      <c r="K740" s="22" t="str">
        <f aca="false">IF(A740="","",MONTH(A740))</f>
        <v/>
      </c>
      <c r="L740" s="22" t="str">
        <f aca="false">IF(A740="","",YEAR(A740))</f>
        <v/>
      </c>
    </row>
    <row r="741" customFormat="false" ht="15" hidden="false" customHeight="false" outlineLevel="0" collapsed="false">
      <c r="A741" s="23"/>
      <c r="B741" s="24"/>
      <c r="C741" s="24"/>
      <c r="D741" s="20" t="str">
        <f aca="false">IF(C741="","",IF(COUNTIF(ตั้งค่า!$A$7:$A$18,C741)&gt;0,"รายรับ",IF(COUNTIF(ตั้งค่า!$C$7:$C$31,C741)&gt;0,"รายจ่าย","ไม่พบหมวดหมู่")))</f>
        <v/>
      </c>
      <c r="E741" s="25"/>
      <c r="F741" s="24"/>
      <c r="G741" s="24"/>
      <c r="H741" s="21" t="n">
        <f aca="false">IF(OR(E741="",D741&lt;&gt;"รายรับ"),0,E741)</f>
        <v>0</v>
      </c>
      <c r="I741" s="21" t="n">
        <f aca="false">IF(OR(E741="",D741&lt;&gt;"รายจ่าย"),0,E741)</f>
        <v>0</v>
      </c>
      <c r="J741" s="21" t="str">
        <f aca="false">IF(E741="","",ตั้งค่า!$B$4+SUM($H$5:H741)-SUM($I$5:I741))</f>
        <v/>
      </c>
      <c r="K741" s="22" t="str">
        <f aca="false">IF(A741="","",MONTH(A741))</f>
        <v/>
      </c>
      <c r="L741" s="22" t="str">
        <f aca="false">IF(A741="","",YEAR(A741))</f>
        <v/>
      </c>
    </row>
    <row r="742" customFormat="false" ht="15" hidden="false" customHeight="false" outlineLevel="0" collapsed="false">
      <c r="A742" s="23"/>
      <c r="B742" s="24"/>
      <c r="C742" s="24"/>
      <c r="D742" s="20" t="str">
        <f aca="false">IF(C742="","",IF(COUNTIF(ตั้งค่า!$A$7:$A$18,C742)&gt;0,"รายรับ",IF(COUNTIF(ตั้งค่า!$C$7:$C$31,C742)&gt;0,"รายจ่าย","ไม่พบหมวดหมู่")))</f>
        <v/>
      </c>
      <c r="E742" s="25"/>
      <c r="F742" s="24"/>
      <c r="G742" s="24"/>
      <c r="H742" s="21" t="n">
        <f aca="false">IF(OR(E742="",D742&lt;&gt;"รายรับ"),0,E742)</f>
        <v>0</v>
      </c>
      <c r="I742" s="21" t="n">
        <f aca="false">IF(OR(E742="",D742&lt;&gt;"รายจ่าย"),0,E742)</f>
        <v>0</v>
      </c>
      <c r="J742" s="21" t="str">
        <f aca="false">IF(E742="","",ตั้งค่า!$B$4+SUM($H$5:H742)-SUM($I$5:I742))</f>
        <v/>
      </c>
      <c r="K742" s="22" t="str">
        <f aca="false">IF(A742="","",MONTH(A742))</f>
        <v/>
      </c>
      <c r="L742" s="22" t="str">
        <f aca="false">IF(A742="","",YEAR(A742))</f>
        <v/>
      </c>
    </row>
    <row r="743" customFormat="false" ht="15" hidden="false" customHeight="false" outlineLevel="0" collapsed="false">
      <c r="A743" s="23"/>
      <c r="B743" s="24"/>
      <c r="C743" s="24"/>
      <c r="D743" s="20" t="str">
        <f aca="false">IF(C743="","",IF(COUNTIF(ตั้งค่า!$A$7:$A$18,C743)&gt;0,"รายรับ",IF(COUNTIF(ตั้งค่า!$C$7:$C$31,C743)&gt;0,"รายจ่าย","ไม่พบหมวดหมู่")))</f>
        <v/>
      </c>
      <c r="E743" s="25"/>
      <c r="F743" s="24"/>
      <c r="G743" s="24"/>
      <c r="H743" s="21" t="n">
        <f aca="false">IF(OR(E743="",D743&lt;&gt;"รายรับ"),0,E743)</f>
        <v>0</v>
      </c>
      <c r="I743" s="21" t="n">
        <f aca="false">IF(OR(E743="",D743&lt;&gt;"รายจ่าย"),0,E743)</f>
        <v>0</v>
      </c>
      <c r="J743" s="21" t="str">
        <f aca="false">IF(E743="","",ตั้งค่า!$B$4+SUM($H$5:H743)-SUM($I$5:I743))</f>
        <v/>
      </c>
      <c r="K743" s="22" t="str">
        <f aca="false">IF(A743="","",MONTH(A743))</f>
        <v/>
      </c>
      <c r="L743" s="22" t="str">
        <f aca="false">IF(A743="","",YEAR(A743))</f>
        <v/>
      </c>
    </row>
    <row r="744" customFormat="false" ht="15" hidden="false" customHeight="false" outlineLevel="0" collapsed="false">
      <c r="A744" s="23"/>
      <c r="B744" s="24"/>
      <c r="C744" s="24"/>
      <c r="D744" s="20" t="str">
        <f aca="false">IF(C744="","",IF(COUNTIF(ตั้งค่า!$A$7:$A$18,C744)&gt;0,"รายรับ",IF(COUNTIF(ตั้งค่า!$C$7:$C$31,C744)&gt;0,"รายจ่าย","ไม่พบหมวดหมู่")))</f>
        <v/>
      </c>
      <c r="E744" s="25"/>
      <c r="F744" s="24"/>
      <c r="G744" s="24"/>
      <c r="H744" s="21" t="n">
        <f aca="false">IF(OR(E744="",D744&lt;&gt;"รายรับ"),0,E744)</f>
        <v>0</v>
      </c>
      <c r="I744" s="21" t="n">
        <f aca="false">IF(OR(E744="",D744&lt;&gt;"รายจ่าย"),0,E744)</f>
        <v>0</v>
      </c>
      <c r="J744" s="21" t="str">
        <f aca="false">IF(E744="","",ตั้งค่า!$B$4+SUM($H$5:H744)-SUM($I$5:I744))</f>
        <v/>
      </c>
      <c r="K744" s="22" t="str">
        <f aca="false">IF(A744="","",MONTH(A744))</f>
        <v/>
      </c>
      <c r="L744" s="22" t="str">
        <f aca="false">IF(A744="","",YEAR(A744))</f>
        <v/>
      </c>
    </row>
    <row r="745" customFormat="false" ht="15" hidden="false" customHeight="false" outlineLevel="0" collapsed="false">
      <c r="A745" s="23"/>
      <c r="B745" s="24"/>
      <c r="C745" s="24"/>
      <c r="D745" s="20" t="str">
        <f aca="false">IF(C745="","",IF(COUNTIF(ตั้งค่า!$A$7:$A$18,C745)&gt;0,"รายรับ",IF(COUNTIF(ตั้งค่า!$C$7:$C$31,C745)&gt;0,"รายจ่าย","ไม่พบหมวดหมู่")))</f>
        <v/>
      </c>
      <c r="E745" s="25"/>
      <c r="F745" s="24"/>
      <c r="G745" s="24"/>
      <c r="H745" s="21" t="n">
        <f aca="false">IF(OR(E745="",D745&lt;&gt;"รายรับ"),0,E745)</f>
        <v>0</v>
      </c>
      <c r="I745" s="21" t="n">
        <f aca="false">IF(OR(E745="",D745&lt;&gt;"รายจ่าย"),0,E745)</f>
        <v>0</v>
      </c>
      <c r="J745" s="21" t="str">
        <f aca="false">IF(E745="","",ตั้งค่า!$B$4+SUM($H$5:H745)-SUM($I$5:I745))</f>
        <v/>
      </c>
      <c r="K745" s="22" t="str">
        <f aca="false">IF(A745="","",MONTH(A745))</f>
        <v/>
      </c>
      <c r="L745" s="22" t="str">
        <f aca="false">IF(A745="","",YEAR(A745))</f>
        <v/>
      </c>
    </row>
    <row r="746" customFormat="false" ht="15" hidden="false" customHeight="false" outlineLevel="0" collapsed="false">
      <c r="A746" s="23"/>
      <c r="B746" s="24"/>
      <c r="C746" s="24"/>
      <c r="D746" s="20" t="str">
        <f aca="false">IF(C746="","",IF(COUNTIF(ตั้งค่า!$A$7:$A$18,C746)&gt;0,"รายรับ",IF(COUNTIF(ตั้งค่า!$C$7:$C$31,C746)&gt;0,"รายจ่าย","ไม่พบหมวดหมู่")))</f>
        <v/>
      </c>
      <c r="E746" s="25"/>
      <c r="F746" s="24"/>
      <c r="G746" s="24"/>
      <c r="H746" s="21" t="n">
        <f aca="false">IF(OR(E746="",D746&lt;&gt;"รายรับ"),0,E746)</f>
        <v>0</v>
      </c>
      <c r="I746" s="21" t="n">
        <f aca="false">IF(OR(E746="",D746&lt;&gt;"รายจ่าย"),0,E746)</f>
        <v>0</v>
      </c>
      <c r="J746" s="21" t="str">
        <f aca="false">IF(E746="","",ตั้งค่า!$B$4+SUM($H$5:H746)-SUM($I$5:I746))</f>
        <v/>
      </c>
      <c r="K746" s="22" t="str">
        <f aca="false">IF(A746="","",MONTH(A746))</f>
        <v/>
      </c>
      <c r="L746" s="22" t="str">
        <f aca="false">IF(A746="","",YEAR(A746))</f>
        <v/>
      </c>
    </row>
    <row r="747" customFormat="false" ht="15" hidden="false" customHeight="false" outlineLevel="0" collapsed="false">
      <c r="A747" s="23"/>
      <c r="B747" s="24"/>
      <c r="C747" s="24"/>
      <c r="D747" s="20" t="str">
        <f aca="false">IF(C747="","",IF(COUNTIF(ตั้งค่า!$A$7:$A$18,C747)&gt;0,"รายรับ",IF(COUNTIF(ตั้งค่า!$C$7:$C$31,C747)&gt;0,"รายจ่าย","ไม่พบหมวดหมู่")))</f>
        <v/>
      </c>
      <c r="E747" s="25"/>
      <c r="F747" s="24"/>
      <c r="G747" s="24"/>
      <c r="H747" s="21" t="n">
        <f aca="false">IF(OR(E747="",D747&lt;&gt;"รายรับ"),0,E747)</f>
        <v>0</v>
      </c>
      <c r="I747" s="21" t="n">
        <f aca="false">IF(OR(E747="",D747&lt;&gt;"รายจ่าย"),0,E747)</f>
        <v>0</v>
      </c>
      <c r="J747" s="21" t="str">
        <f aca="false">IF(E747="","",ตั้งค่า!$B$4+SUM($H$5:H747)-SUM($I$5:I747))</f>
        <v/>
      </c>
      <c r="K747" s="22" t="str">
        <f aca="false">IF(A747="","",MONTH(A747))</f>
        <v/>
      </c>
      <c r="L747" s="22" t="str">
        <f aca="false">IF(A747="","",YEAR(A747))</f>
        <v/>
      </c>
    </row>
    <row r="748" customFormat="false" ht="15" hidden="false" customHeight="false" outlineLevel="0" collapsed="false">
      <c r="A748" s="23"/>
      <c r="B748" s="24"/>
      <c r="C748" s="24"/>
      <c r="D748" s="20" t="str">
        <f aca="false">IF(C748="","",IF(COUNTIF(ตั้งค่า!$A$7:$A$18,C748)&gt;0,"รายรับ",IF(COUNTIF(ตั้งค่า!$C$7:$C$31,C748)&gt;0,"รายจ่าย","ไม่พบหมวดหมู่")))</f>
        <v/>
      </c>
      <c r="E748" s="25"/>
      <c r="F748" s="24"/>
      <c r="G748" s="24"/>
      <c r="H748" s="21" t="n">
        <f aca="false">IF(OR(E748="",D748&lt;&gt;"รายรับ"),0,E748)</f>
        <v>0</v>
      </c>
      <c r="I748" s="21" t="n">
        <f aca="false">IF(OR(E748="",D748&lt;&gt;"รายจ่าย"),0,E748)</f>
        <v>0</v>
      </c>
      <c r="J748" s="21" t="str">
        <f aca="false">IF(E748="","",ตั้งค่า!$B$4+SUM($H$5:H748)-SUM($I$5:I748))</f>
        <v/>
      </c>
      <c r="K748" s="22" t="str">
        <f aca="false">IF(A748="","",MONTH(A748))</f>
        <v/>
      </c>
      <c r="L748" s="22" t="str">
        <f aca="false">IF(A748="","",YEAR(A748))</f>
        <v/>
      </c>
    </row>
    <row r="749" customFormat="false" ht="15" hidden="false" customHeight="false" outlineLevel="0" collapsed="false">
      <c r="A749" s="23"/>
      <c r="B749" s="24"/>
      <c r="C749" s="24"/>
      <c r="D749" s="20" t="str">
        <f aca="false">IF(C749="","",IF(COUNTIF(ตั้งค่า!$A$7:$A$18,C749)&gt;0,"รายรับ",IF(COUNTIF(ตั้งค่า!$C$7:$C$31,C749)&gt;0,"รายจ่าย","ไม่พบหมวดหมู่")))</f>
        <v/>
      </c>
      <c r="E749" s="25"/>
      <c r="F749" s="24"/>
      <c r="G749" s="24"/>
      <c r="H749" s="21" t="n">
        <f aca="false">IF(OR(E749="",D749&lt;&gt;"รายรับ"),0,E749)</f>
        <v>0</v>
      </c>
      <c r="I749" s="21" t="n">
        <f aca="false">IF(OR(E749="",D749&lt;&gt;"รายจ่าย"),0,E749)</f>
        <v>0</v>
      </c>
      <c r="J749" s="21" t="str">
        <f aca="false">IF(E749="","",ตั้งค่า!$B$4+SUM($H$5:H749)-SUM($I$5:I749))</f>
        <v/>
      </c>
      <c r="K749" s="22" t="str">
        <f aca="false">IF(A749="","",MONTH(A749))</f>
        <v/>
      </c>
      <c r="L749" s="22" t="str">
        <f aca="false">IF(A749="","",YEAR(A749))</f>
        <v/>
      </c>
    </row>
    <row r="750" customFormat="false" ht="15" hidden="false" customHeight="false" outlineLevel="0" collapsed="false">
      <c r="A750" s="23"/>
      <c r="B750" s="24"/>
      <c r="C750" s="24"/>
      <c r="D750" s="20" t="str">
        <f aca="false">IF(C750="","",IF(COUNTIF(ตั้งค่า!$A$7:$A$18,C750)&gt;0,"รายรับ",IF(COUNTIF(ตั้งค่า!$C$7:$C$31,C750)&gt;0,"รายจ่าย","ไม่พบหมวดหมู่")))</f>
        <v/>
      </c>
      <c r="E750" s="25"/>
      <c r="F750" s="24"/>
      <c r="G750" s="24"/>
      <c r="H750" s="21" t="n">
        <f aca="false">IF(OR(E750="",D750&lt;&gt;"รายรับ"),0,E750)</f>
        <v>0</v>
      </c>
      <c r="I750" s="21" t="n">
        <f aca="false">IF(OR(E750="",D750&lt;&gt;"รายจ่าย"),0,E750)</f>
        <v>0</v>
      </c>
      <c r="J750" s="21" t="str">
        <f aca="false">IF(E750="","",ตั้งค่า!$B$4+SUM($H$5:H750)-SUM($I$5:I750))</f>
        <v/>
      </c>
      <c r="K750" s="22" t="str">
        <f aca="false">IF(A750="","",MONTH(A750))</f>
        <v/>
      </c>
      <c r="L750" s="22" t="str">
        <f aca="false">IF(A750="","",YEAR(A750))</f>
        <v/>
      </c>
    </row>
    <row r="751" customFormat="false" ht="15" hidden="false" customHeight="false" outlineLevel="0" collapsed="false">
      <c r="A751" s="23"/>
      <c r="B751" s="24"/>
      <c r="C751" s="24"/>
      <c r="D751" s="20" t="str">
        <f aca="false">IF(C751="","",IF(COUNTIF(ตั้งค่า!$A$7:$A$18,C751)&gt;0,"รายรับ",IF(COUNTIF(ตั้งค่า!$C$7:$C$31,C751)&gt;0,"รายจ่าย","ไม่พบหมวดหมู่")))</f>
        <v/>
      </c>
      <c r="E751" s="25"/>
      <c r="F751" s="24"/>
      <c r="G751" s="24"/>
      <c r="H751" s="21" t="n">
        <f aca="false">IF(OR(E751="",D751&lt;&gt;"รายรับ"),0,E751)</f>
        <v>0</v>
      </c>
      <c r="I751" s="21" t="n">
        <f aca="false">IF(OR(E751="",D751&lt;&gt;"รายจ่าย"),0,E751)</f>
        <v>0</v>
      </c>
      <c r="J751" s="21" t="str">
        <f aca="false">IF(E751="","",ตั้งค่า!$B$4+SUM($H$5:H751)-SUM($I$5:I751))</f>
        <v/>
      </c>
      <c r="K751" s="22" t="str">
        <f aca="false">IF(A751="","",MONTH(A751))</f>
        <v/>
      </c>
      <c r="L751" s="22" t="str">
        <f aca="false">IF(A751="","",YEAR(A751))</f>
        <v/>
      </c>
    </row>
    <row r="752" customFormat="false" ht="15" hidden="false" customHeight="false" outlineLevel="0" collapsed="false">
      <c r="A752" s="23"/>
      <c r="B752" s="24"/>
      <c r="C752" s="24"/>
      <c r="D752" s="20" t="str">
        <f aca="false">IF(C752="","",IF(COUNTIF(ตั้งค่า!$A$7:$A$18,C752)&gt;0,"รายรับ",IF(COUNTIF(ตั้งค่า!$C$7:$C$31,C752)&gt;0,"รายจ่าย","ไม่พบหมวดหมู่")))</f>
        <v/>
      </c>
      <c r="E752" s="25"/>
      <c r="F752" s="24"/>
      <c r="G752" s="24"/>
      <c r="H752" s="21" t="n">
        <f aca="false">IF(OR(E752="",D752&lt;&gt;"รายรับ"),0,E752)</f>
        <v>0</v>
      </c>
      <c r="I752" s="21" t="n">
        <f aca="false">IF(OR(E752="",D752&lt;&gt;"รายจ่าย"),0,E752)</f>
        <v>0</v>
      </c>
      <c r="J752" s="21" t="str">
        <f aca="false">IF(E752="","",ตั้งค่า!$B$4+SUM($H$5:H752)-SUM($I$5:I752))</f>
        <v/>
      </c>
      <c r="K752" s="22" t="str">
        <f aca="false">IF(A752="","",MONTH(A752))</f>
        <v/>
      </c>
      <c r="L752" s="22" t="str">
        <f aca="false">IF(A752="","",YEAR(A752))</f>
        <v/>
      </c>
    </row>
    <row r="753" customFormat="false" ht="15" hidden="false" customHeight="false" outlineLevel="0" collapsed="false">
      <c r="A753" s="23"/>
      <c r="B753" s="24"/>
      <c r="C753" s="24"/>
      <c r="D753" s="20" t="str">
        <f aca="false">IF(C753="","",IF(COUNTIF(ตั้งค่า!$A$7:$A$18,C753)&gt;0,"รายรับ",IF(COUNTIF(ตั้งค่า!$C$7:$C$31,C753)&gt;0,"รายจ่าย","ไม่พบหมวดหมู่")))</f>
        <v/>
      </c>
      <c r="E753" s="25"/>
      <c r="F753" s="24"/>
      <c r="G753" s="24"/>
      <c r="H753" s="21" t="n">
        <f aca="false">IF(OR(E753="",D753&lt;&gt;"รายรับ"),0,E753)</f>
        <v>0</v>
      </c>
      <c r="I753" s="21" t="n">
        <f aca="false">IF(OR(E753="",D753&lt;&gt;"รายจ่าย"),0,E753)</f>
        <v>0</v>
      </c>
      <c r="J753" s="21" t="str">
        <f aca="false">IF(E753="","",ตั้งค่า!$B$4+SUM($H$5:H753)-SUM($I$5:I753))</f>
        <v/>
      </c>
      <c r="K753" s="22" t="str">
        <f aca="false">IF(A753="","",MONTH(A753))</f>
        <v/>
      </c>
      <c r="L753" s="22" t="str">
        <f aca="false">IF(A753="","",YEAR(A753))</f>
        <v/>
      </c>
    </row>
    <row r="754" customFormat="false" ht="15" hidden="false" customHeight="false" outlineLevel="0" collapsed="false">
      <c r="A754" s="23"/>
      <c r="B754" s="24"/>
      <c r="C754" s="24"/>
      <c r="D754" s="20" t="str">
        <f aca="false">IF(C754="","",IF(COUNTIF(ตั้งค่า!$A$7:$A$18,C754)&gt;0,"รายรับ",IF(COUNTIF(ตั้งค่า!$C$7:$C$31,C754)&gt;0,"รายจ่าย","ไม่พบหมวดหมู่")))</f>
        <v/>
      </c>
      <c r="E754" s="25"/>
      <c r="F754" s="24"/>
      <c r="G754" s="24"/>
      <c r="H754" s="21" t="n">
        <f aca="false">IF(OR(E754="",D754&lt;&gt;"รายรับ"),0,E754)</f>
        <v>0</v>
      </c>
      <c r="I754" s="21" t="n">
        <f aca="false">IF(OR(E754="",D754&lt;&gt;"รายจ่าย"),0,E754)</f>
        <v>0</v>
      </c>
      <c r="J754" s="21" t="str">
        <f aca="false">IF(E754="","",ตั้งค่า!$B$4+SUM($H$5:H754)-SUM($I$5:I754))</f>
        <v/>
      </c>
      <c r="K754" s="22" t="str">
        <f aca="false">IF(A754="","",MONTH(A754))</f>
        <v/>
      </c>
      <c r="L754" s="22" t="str">
        <f aca="false">IF(A754="","",YEAR(A754))</f>
        <v/>
      </c>
    </row>
    <row r="755" customFormat="false" ht="15" hidden="false" customHeight="false" outlineLevel="0" collapsed="false">
      <c r="A755" s="23"/>
      <c r="B755" s="24"/>
      <c r="C755" s="24"/>
      <c r="D755" s="20" t="str">
        <f aca="false">IF(C755="","",IF(COUNTIF(ตั้งค่า!$A$7:$A$18,C755)&gt;0,"รายรับ",IF(COUNTIF(ตั้งค่า!$C$7:$C$31,C755)&gt;0,"รายจ่าย","ไม่พบหมวดหมู่")))</f>
        <v/>
      </c>
      <c r="E755" s="25"/>
      <c r="F755" s="24"/>
      <c r="G755" s="24"/>
      <c r="H755" s="21" t="n">
        <f aca="false">IF(OR(E755="",D755&lt;&gt;"รายรับ"),0,E755)</f>
        <v>0</v>
      </c>
      <c r="I755" s="21" t="n">
        <f aca="false">IF(OR(E755="",D755&lt;&gt;"รายจ่าย"),0,E755)</f>
        <v>0</v>
      </c>
      <c r="J755" s="21" t="str">
        <f aca="false">IF(E755="","",ตั้งค่า!$B$4+SUM($H$5:H755)-SUM($I$5:I755))</f>
        <v/>
      </c>
      <c r="K755" s="22" t="str">
        <f aca="false">IF(A755="","",MONTH(A755))</f>
        <v/>
      </c>
      <c r="L755" s="22" t="str">
        <f aca="false">IF(A755="","",YEAR(A755))</f>
        <v/>
      </c>
    </row>
    <row r="756" customFormat="false" ht="15" hidden="false" customHeight="false" outlineLevel="0" collapsed="false">
      <c r="A756" s="23"/>
      <c r="B756" s="24"/>
      <c r="C756" s="24"/>
      <c r="D756" s="20" t="str">
        <f aca="false">IF(C756="","",IF(COUNTIF(ตั้งค่า!$A$7:$A$18,C756)&gt;0,"รายรับ",IF(COUNTIF(ตั้งค่า!$C$7:$C$31,C756)&gt;0,"รายจ่าย","ไม่พบหมวดหมู่")))</f>
        <v/>
      </c>
      <c r="E756" s="25"/>
      <c r="F756" s="24"/>
      <c r="G756" s="24"/>
      <c r="H756" s="21" t="n">
        <f aca="false">IF(OR(E756="",D756&lt;&gt;"รายรับ"),0,E756)</f>
        <v>0</v>
      </c>
      <c r="I756" s="21" t="n">
        <f aca="false">IF(OR(E756="",D756&lt;&gt;"รายจ่าย"),0,E756)</f>
        <v>0</v>
      </c>
      <c r="J756" s="21" t="str">
        <f aca="false">IF(E756="","",ตั้งค่า!$B$4+SUM($H$5:H756)-SUM($I$5:I756))</f>
        <v/>
      </c>
      <c r="K756" s="22" t="str">
        <f aca="false">IF(A756="","",MONTH(A756))</f>
        <v/>
      </c>
      <c r="L756" s="22" t="str">
        <f aca="false">IF(A756="","",YEAR(A756))</f>
        <v/>
      </c>
    </row>
    <row r="757" customFormat="false" ht="15" hidden="false" customHeight="false" outlineLevel="0" collapsed="false">
      <c r="A757" s="23"/>
      <c r="B757" s="24"/>
      <c r="C757" s="24"/>
      <c r="D757" s="20" t="str">
        <f aca="false">IF(C757="","",IF(COUNTIF(ตั้งค่า!$A$7:$A$18,C757)&gt;0,"รายรับ",IF(COUNTIF(ตั้งค่า!$C$7:$C$31,C757)&gt;0,"รายจ่าย","ไม่พบหมวดหมู่")))</f>
        <v/>
      </c>
      <c r="E757" s="25"/>
      <c r="F757" s="24"/>
      <c r="G757" s="24"/>
      <c r="H757" s="21" t="n">
        <f aca="false">IF(OR(E757="",D757&lt;&gt;"รายรับ"),0,E757)</f>
        <v>0</v>
      </c>
      <c r="I757" s="21" t="n">
        <f aca="false">IF(OR(E757="",D757&lt;&gt;"รายจ่าย"),0,E757)</f>
        <v>0</v>
      </c>
      <c r="J757" s="21" t="str">
        <f aca="false">IF(E757="","",ตั้งค่า!$B$4+SUM($H$5:H757)-SUM($I$5:I757))</f>
        <v/>
      </c>
      <c r="K757" s="22" t="str">
        <f aca="false">IF(A757="","",MONTH(A757))</f>
        <v/>
      </c>
      <c r="L757" s="22" t="str">
        <f aca="false">IF(A757="","",YEAR(A757))</f>
        <v/>
      </c>
    </row>
    <row r="758" customFormat="false" ht="15" hidden="false" customHeight="false" outlineLevel="0" collapsed="false">
      <c r="A758" s="23"/>
      <c r="B758" s="24"/>
      <c r="C758" s="24"/>
      <c r="D758" s="20" t="str">
        <f aca="false">IF(C758="","",IF(COUNTIF(ตั้งค่า!$A$7:$A$18,C758)&gt;0,"รายรับ",IF(COUNTIF(ตั้งค่า!$C$7:$C$31,C758)&gt;0,"รายจ่าย","ไม่พบหมวดหมู่")))</f>
        <v/>
      </c>
      <c r="E758" s="25"/>
      <c r="F758" s="24"/>
      <c r="G758" s="24"/>
      <c r="H758" s="21" t="n">
        <f aca="false">IF(OR(E758="",D758&lt;&gt;"รายรับ"),0,E758)</f>
        <v>0</v>
      </c>
      <c r="I758" s="21" t="n">
        <f aca="false">IF(OR(E758="",D758&lt;&gt;"รายจ่าย"),0,E758)</f>
        <v>0</v>
      </c>
      <c r="J758" s="21" t="str">
        <f aca="false">IF(E758="","",ตั้งค่า!$B$4+SUM($H$5:H758)-SUM($I$5:I758))</f>
        <v/>
      </c>
      <c r="K758" s="22" t="str">
        <f aca="false">IF(A758="","",MONTH(A758))</f>
        <v/>
      </c>
      <c r="L758" s="22" t="str">
        <f aca="false">IF(A758="","",YEAR(A758))</f>
        <v/>
      </c>
    </row>
    <row r="759" customFormat="false" ht="15" hidden="false" customHeight="false" outlineLevel="0" collapsed="false">
      <c r="A759" s="23"/>
      <c r="B759" s="24"/>
      <c r="C759" s="24"/>
      <c r="D759" s="20" t="str">
        <f aca="false">IF(C759="","",IF(COUNTIF(ตั้งค่า!$A$7:$A$18,C759)&gt;0,"รายรับ",IF(COUNTIF(ตั้งค่า!$C$7:$C$31,C759)&gt;0,"รายจ่าย","ไม่พบหมวดหมู่")))</f>
        <v/>
      </c>
      <c r="E759" s="25"/>
      <c r="F759" s="24"/>
      <c r="G759" s="24"/>
      <c r="H759" s="21" t="n">
        <f aca="false">IF(OR(E759="",D759&lt;&gt;"รายรับ"),0,E759)</f>
        <v>0</v>
      </c>
      <c r="I759" s="21" t="n">
        <f aca="false">IF(OR(E759="",D759&lt;&gt;"รายจ่าย"),0,E759)</f>
        <v>0</v>
      </c>
      <c r="J759" s="21" t="str">
        <f aca="false">IF(E759="","",ตั้งค่า!$B$4+SUM($H$5:H759)-SUM($I$5:I759))</f>
        <v/>
      </c>
      <c r="K759" s="22" t="str">
        <f aca="false">IF(A759="","",MONTH(A759))</f>
        <v/>
      </c>
      <c r="L759" s="22" t="str">
        <f aca="false">IF(A759="","",YEAR(A759))</f>
        <v/>
      </c>
    </row>
    <row r="760" customFormat="false" ht="15" hidden="false" customHeight="false" outlineLevel="0" collapsed="false">
      <c r="A760" s="23"/>
      <c r="B760" s="24"/>
      <c r="C760" s="24"/>
      <c r="D760" s="20" t="str">
        <f aca="false">IF(C760="","",IF(COUNTIF(ตั้งค่า!$A$7:$A$18,C760)&gt;0,"รายรับ",IF(COUNTIF(ตั้งค่า!$C$7:$C$31,C760)&gt;0,"รายจ่าย","ไม่พบหมวดหมู่")))</f>
        <v/>
      </c>
      <c r="E760" s="25"/>
      <c r="F760" s="24"/>
      <c r="G760" s="24"/>
      <c r="H760" s="21" t="n">
        <f aca="false">IF(OR(E760="",D760&lt;&gt;"รายรับ"),0,E760)</f>
        <v>0</v>
      </c>
      <c r="I760" s="21" t="n">
        <f aca="false">IF(OR(E760="",D760&lt;&gt;"รายจ่าย"),0,E760)</f>
        <v>0</v>
      </c>
      <c r="J760" s="21" t="str">
        <f aca="false">IF(E760="","",ตั้งค่า!$B$4+SUM($H$5:H760)-SUM($I$5:I760))</f>
        <v/>
      </c>
      <c r="K760" s="22" t="str">
        <f aca="false">IF(A760="","",MONTH(A760))</f>
        <v/>
      </c>
      <c r="L760" s="22" t="str">
        <f aca="false">IF(A760="","",YEAR(A760))</f>
        <v/>
      </c>
    </row>
    <row r="761" customFormat="false" ht="15" hidden="false" customHeight="false" outlineLevel="0" collapsed="false">
      <c r="A761" s="23"/>
      <c r="B761" s="24"/>
      <c r="C761" s="24"/>
      <c r="D761" s="20" t="str">
        <f aca="false">IF(C761="","",IF(COUNTIF(ตั้งค่า!$A$7:$A$18,C761)&gt;0,"รายรับ",IF(COUNTIF(ตั้งค่า!$C$7:$C$31,C761)&gt;0,"รายจ่าย","ไม่พบหมวดหมู่")))</f>
        <v/>
      </c>
      <c r="E761" s="25"/>
      <c r="F761" s="24"/>
      <c r="G761" s="24"/>
      <c r="H761" s="21" t="n">
        <f aca="false">IF(OR(E761="",D761&lt;&gt;"รายรับ"),0,E761)</f>
        <v>0</v>
      </c>
      <c r="I761" s="21" t="n">
        <f aca="false">IF(OR(E761="",D761&lt;&gt;"รายจ่าย"),0,E761)</f>
        <v>0</v>
      </c>
      <c r="J761" s="21" t="str">
        <f aca="false">IF(E761="","",ตั้งค่า!$B$4+SUM($H$5:H761)-SUM($I$5:I761))</f>
        <v/>
      </c>
      <c r="K761" s="22" t="str">
        <f aca="false">IF(A761="","",MONTH(A761))</f>
        <v/>
      </c>
      <c r="L761" s="22" t="str">
        <f aca="false">IF(A761="","",YEAR(A761))</f>
        <v/>
      </c>
    </row>
    <row r="762" customFormat="false" ht="15" hidden="false" customHeight="false" outlineLevel="0" collapsed="false">
      <c r="A762" s="23"/>
      <c r="B762" s="24"/>
      <c r="C762" s="24"/>
      <c r="D762" s="20" t="str">
        <f aca="false">IF(C762="","",IF(COUNTIF(ตั้งค่า!$A$7:$A$18,C762)&gt;0,"รายรับ",IF(COUNTIF(ตั้งค่า!$C$7:$C$31,C762)&gt;0,"รายจ่าย","ไม่พบหมวดหมู่")))</f>
        <v/>
      </c>
      <c r="E762" s="25"/>
      <c r="F762" s="24"/>
      <c r="G762" s="24"/>
      <c r="H762" s="21" t="n">
        <f aca="false">IF(OR(E762="",D762&lt;&gt;"รายรับ"),0,E762)</f>
        <v>0</v>
      </c>
      <c r="I762" s="21" t="n">
        <f aca="false">IF(OR(E762="",D762&lt;&gt;"รายจ่าย"),0,E762)</f>
        <v>0</v>
      </c>
      <c r="J762" s="21" t="str">
        <f aca="false">IF(E762="","",ตั้งค่า!$B$4+SUM($H$5:H762)-SUM($I$5:I762))</f>
        <v/>
      </c>
      <c r="K762" s="22" t="str">
        <f aca="false">IF(A762="","",MONTH(A762))</f>
        <v/>
      </c>
      <c r="L762" s="22" t="str">
        <f aca="false">IF(A762="","",YEAR(A762))</f>
        <v/>
      </c>
    </row>
    <row r="763" customFormat="false" ht="15" hidden="false" customHeight="false" outlineLevel="0" collapsed="false">
      <c r="A763" s="23"/>
      <c r="B763" s="24"/>
      <c r="C763" s="24"/>
      <c r="D763" s="20" t="str">
        <f aca="false">IF(C763="","",IF(COUNTIF(ตั้งค่า!$A$7:$A$18,C763)&gt;0,"รายรับ",IF(COUNTIF(ตั้งค่า!$C$7:$C$31,C763)&gt;0,"รายจ่าย","ไม่พบหมวดหมู่")))</f>
        <v/>
      </c>
      <c r="E763" s="25"/>
      <c r="F763" s="24"/>
      <c r="G763" s="24"/>
      <c r="H763" s="21" t="n">
        <f aca="false">IF(OR(E763="",D763&lt;&gt;"รายรับ"),0,E763)</f>
        <v>0</v>
      </c>
      <c r="I763" s="21" t="n">
        <f aca="false">IF(OR(E763="",D763&lt;&gt;"รายจ่าย"),0,E763)</f>
        <v>0</v>
      </c>
      <c r="J763" s="21" t="str">
        <f aca="false">IF(E763="","",ตั้งค่า!$B$4+SUM($H$5:H763)-SUM($I$5:I763))</f>
        <v/>
      </c>
      <c r="K763" s="22" t="str">
        <f aca="false">IF(A763="","",MONTH(A763))</f>
        <v/>
      </c>
      <c r="L763" s="22" t="str">
        <f aca="false">IF(A763="","",YEAR(A763))</f>
        <v/>
      </c>
    </row>
    <row r="764" customFormat="false" ht="15" hidden="false" customHeight="false" outlineLevel="0" collapsed="false">
      <c r="A764" s="23"/>
      <c r="B764" s="24"/>
      <c r="C764" s="24"/>
      <c r="D764" s="20" t="str">
        <f aca="false">IF(C764="","",IF(COUNTIF(ตั้งค่า!$A$7:$A$18,C764)&gt;0,"รายรับ",IF(COUNTIF(ตั้งค่า!$C$7:$C$31,C764)&gt;0,"รายจ่าย","ไม่พบหมวดหมู่")))</f>
        <v/>
      </c>
      <c r="E764" s="25"/>
      <c r="F764" s="24"/>
      <c r="G764" s="24"/>
      <c r="H764" s="21" t="n">
        <f aca="false">IF(OR(E764="",D764&lt;&gt;"รายรับ"),0,E764)</f>
        <v>0</v>
      </c>
      <c r="I764" s="21" t="n">
        <f aca="false">IF(OR(E764="",D764&lt;&gt;"รายจ่าย"),0,E764)</f>
        <v>0</v>
      </c>
      <c r="J764" s="21" t="str">
        <f aca="false">IF(E764="","",ตั้งค่า!$B$4+SUM($H$5:H764)-SUM($I$5:I764))</f>
        <v/>
      </c>
      <c r="K764" s="22" t="str">
        <f aca="false">IF(A764="","",MONTH(A764))</f>
        <v/>
      </c>
      <c r="L764" s="22" t="str">
        <f aca="false">IF(A764="","",YEAR(A764))</f>
        <v/>
      </c>
    </row>
    <row r="765" customFormat="false" ht="15" hidden="false" customHeight="false" outlineLevel="0" collapsed="false">
      <c r="A765" s="23"/>
      <c r="B765" s="24"/>
      <c r="C765" s="24"/>
      <c r="D765" s="20" t="str">
        <f aca="false">IF(C765="","",IF(COUNTIF(ตั้งค่า!$A$7:$A$18,C765)&gt;0,"รายรับ",IF(COUNTIF(ตั้งค่า!$C$7:$C$31,C765)&gt;0,"รายจ่าย","ไม่พบหมวดหมู่")))</f>
        <v/>
      </c>
      <c r="E765" s="25"/>
      <c r="F765" s="24"/>
      <c r="G765" s="24"/>
      <c r="H765" s="21" t="n">
        <f aca="false">IF(OR(E765="",D765&lt;&gt;"รายรับ"),0,E765)</f>
        <v>0</v>
      </c>
      <c r="I765" s="21" t="n">
        <f aca="false">IF(OR(E765="",D765&lt;&gt;"รายจ่าย"),0,E765)</f>
        <v>0</v>
      </c>
      <c r="J765" s="21" t="str">
        <f aca="false">IF(E765="","",ตั้งค่า!$B$4+SUM($H$5:H765)-SUM($I$5:I765))</f>
        <v/>
      </c>
      <c r="K765" s="22" t="str">
        <f aca="false">IF(A765="","",MONTH(A765))</f>
        <v/>
      </c>
      <c r="L765" s="22" t="str">
        <f aca="false">IF(A765="","",YEAR(A765))</f>
        <v/>
      </c>
    </row>
    <row r="766" customFormat="false" ht="15" hidden="false" customHeight="false" outlineLevel="0" collapsed="false">
      <c r="A766" s="23"/>
      <c r="B766" s="24"/>
      <c r="C766" s="24"/>
      <c r="D766" s="20" t="str">
        <f aca="false">IF(C766="","",IF(COUNTIF(ตั้งค่า!$A$7:$A$18,C766)&gt;0,"รายรับ",IF(COUNTIF(ตั้งค่า!$C$7:$C$31,C766)&gt;0,"รายจ่าย","ไม่พบหมวดหมู่")))</f>
        <v/>
      </c>
      <c r="E766" s="25"/>
      <c r="F766" s="24"/>
      <c r="G766" s="24"/>
      <c r="H766" s="21" t="n">
        <f aca="false">IF(OR(E766="",D766&lt;&gt;"รายรับ"),0,E766)</f>
        <v>0</v>
      </c>
      <c r="I766" s="21" t="n">
        <f aca="false">IF(OR(E766="",D766&lt;&gt;"รายจ่าย"),0,E766)</f>
        <v>0</v>
      </c>
      <c r="J766" s="21" t="str">
        <f aca="false">IF(E766="","",ตั้งค่า!$B$4+SUM($H$5:H766)-SUM($I$5:I766))</f>
        <v/>
      </c>
      <c r="K766" s="22" t="str">
        <f aca="false">IF(A766="","",MONTH(A766))</f>
        <v/>
      </c>
      <c r="L766" s="22" t="str">
        <f aca="false">IF(A766="","",YEAR(A766))</f>
        <v/>
      </c>
    </row>
    <row r="767" customFormat="false" ht="15" hidden="false" customHeight="false" outlineLevel="0" collapsed="false">
      <c r="A767" s="23"/>
      <c r="B767" s="24"/>
      <c r="C767" s="24"/>
      <c r="D767" s="20" t="str">
        <f aca="false">IF(C767="","",IF(COUNTIF(ตั้งค่า!$A$7:$A$18,C767)&gt;0,"รายรับ",IF(COUNTIF(ตั้งค่า!$C$7:$C$31,C767)&gt;0,"รายจ่าย","ไม่พบหมวดหมู่")))</f>
        <v/>
      </c>
      <c r="E767" s="25"/>
      <c r="F767" s="24"/>
      <c r="G767" s="24"/>
      <c r="H767" s="21" t="n">
        <f aca="false">IF(OR(E767="",D767&lt;&gt;"รายรับ"),0,E767)</f>
        <v>0</v>
      </c>
      <c r="I767" s="21" t="n">
        <f aca="false">IF(OR(E767="",D767&lt;&gt;"รายจ่าย"),0,E767)</f>
        <v>0</v>
      </c>
      <c r="J767" s="21" t="str">
        <f aca="false">IF(E767="","",ตั้งค่า!$B$4+SUM($H$5:H767)-SUM($I$5:I767))</f>
        <v/>
      </c>
      <c r="K767" s="22" t="str">
        <f aca="false">IF(A767="","",MONTH(A767))</f>
        <v/>
      </c>
      <c r="L767" s="22" t="str">
        <f aca="false">IF(A767="","",YEAR(A767))</f>
        <v/>
      </c>
    </row>
    <row r="768" customFormat="false" ht="15" hidden="false" customHeight="false" outlineLevel="0" collapsed="false">
      <c r="A768" s="23"/>
      <c r="B768" s="24"/>
      <c r="C768" s="24"/>
      <c r="D768" s="20" t="str">
        <f aca="false">IF(C768="","",IF(COUNTIF(ตั้งค่า!$A$7:$A$18,C768)&gt;0,"รายรับ",IF(COUNTIF(ตั้งค่า!$C$7:$C$31,C768)&gt;0,"รายจ่าย","ไม่พบหมวดหมู่")))</f>
        <v/>
      </c>
      <c r="E768" s="25"/>
      <c r="F768" s="24"/>
      <c r="G768" s="24"/>
      <c r="H768" s="21" t="n">
        <f aca="false">IF(OR(E768="",D768&lt;&gt;"รายรับ"),0,E768)</f>
        <v>0</v>
      </c>
      <c r="I768" s="21" t="n">
        <f aca="false">IF(OR(E768="",D768&lt;&gt;"รายจ่าย"),0,E768)</f>
        <v>0</v>
      </c>
      <c r="J768" s="21" t="str">
        <f aca="false">IF(E768="","",ตั้งค่า!$B$4+SUM($H$5:H768)-SUM($I$5:I768))</f>
        <v/>
      </c>
      <c r="K768" s="22" t="str">
        <f aca="false">IF(A768="","",MONTH(A768))</f>
        <v/>
      </c>
      <c r="L768" s="22" t="str">
        <f aca="false">IF(A768="","",YEAR(A768))</f>
        <v/>
      </c>
    </row>
    <row r="769" customFormat="false" ht="15" hidden="false" customHeight="false" outlineLevel="0" collapsed="false">
      <c r="A769" s="23"/>
      <c r="B769" s="24"/>
      <c r="C769" s="24"/>
      <c r="D769" s="20" t="str">
        <f aca="false">IF(C769="","",IF(COUNTIF(ตั้งค่า!$A$7:$A$18,C769)&gt;0,"รายรับ",IF(COUNTIF(ตั้งค่า!$C$7:$C$31,C769)&gt;0,"รายจ่าย","ไม่พบหมวดหมู่")))</f>
        <v/>
      </c>
      <c r="E769" s="25"/>
      <c r="F769" s="24"/>
      <c r="G769" s="24"/>
      <c r="H769" s="21" t="n">
        <f aca="false">IF(OR(E769="",D769&lt;&gt;"รายรับ"),0,E769)</f>
        <v>0</v>
      </c>
      <c r="I769" s="21" t="n">
        <f aca="false">IF(OR(E769="",D769&lt;&gt;"รายจ่าย"),0,E769)</f>
        <v>0</v>
      </c>
      <c r="J769" s="21" t="str">
        <f aca="false">IF(E769="","",ตั้งค่า!$B$4+SUM($H$5:H769)-SUM($I$5:I769))</f>
        <v/>
      </c>
      <c r="K769" s="22" t="str">
        <f aca="false">IF(A769="","",MONTH(A769))</f>
        <v/>
      </c>
      <c r="L769" s="22" t="str">
        <f aca="false">IF(A769="","",YEAR(A769))</f>
        <v/>
      </c>
    </row>
    <row r="770" customFormat="false" ht="15" hidden="false" customHeight="false" outlineLevel="0" collapsed="false">
      <c r="A770" s="23"/>
      <c r="B770" s="24"/>
      <c r="C770" s="24"/>
      <c r="D770" s="20" t="str">
        <f aca="false">IF(C770="","",IF(COUNTIF(ตั้งค่า!$A$7:$A$18,C770)&gt;0,"รายรับ",IF(COUNTIF(ตั้งค่า!$C$7:$C$31,C770)&gt;0,"รายจ่าย","ไม่พบหมวดหมู่")))</f>
        <v/>
      </c>
      <c r="E770" s="25"/>
      <c r="F770" s="24"/>
      <c r="G770" s="24"/>
      <c r="H770" s="21" t="n">
        <f aca="false">IF(OR(E770="",D770&lt;&gt;"รายรับ"),0,E770)</f>
        <v>0</v>
      </c>
      <c r="I770" s="21" t="n">
        <f aca="false">IF(OR(E770="",D770&lt;&gt;"รายจ่าย"),0,E770)</f>
        <v>0</v>
      </c>
      <c r="J770" s="21" t="str">
        <f aca="false">IF(E770="","",ตั้งค่า!$B$4+SUM($H$5:H770)-SUM($I$5:I770))</f>
        <v/>
      </c>
      <c r="K770" s="22" t="str">
        <f aca="false">IF(A770="","",MONTH(A770))</f>
        <v/>
      </c>
      <c r="L770" s="22" t="str">
        <f aca="false">IF(A770="","",YEAR(A770))</f>
        <v/>
      </c>
    </row>
    <row r="771" customFormat="false" ht="15" hidden="false" customHeight="false" outlineLevel="0" collapsed="false">
      <c r="A771" s="23"/>
      <c r="B771" s="24"/>
      <c r="C771" s="24"/>
      <c r="D771" s="20" t="str">
        <f aca="false">IF(C771="","",IF(COUNTIF(ตั้งค่า!$A$7:$A$18,C771)&gt;0,"รายรับ",IF(COUNTIF(ตั้งค่า!$C$7:$C$31,C771)&gt;0,"รายจ่าย","ไม่พบหมวดหมู่")))</f>
        <v/>
      </c>
      <c r="E771" s="25"/>
      <c r="F771" s="24"/>
      <c r="G771" s="24"/>
      <c r="H771" s="21" t="n">
        <f aca="false">IF(OR(E771="",D771&lt;&gt;"รายรับ"),0,E771)</f>
        <v>0</v>
      </c>
      <c r="I771" s="21" t="n">
        <f aca="false">IF(OR(E771="",D771&lt;&gt;"รายจ่าย"),0,E771)</f>
        <v>0</v>
      </c>
      <c r="J771" s="21" t="str">
        <f aca="false">IF(E771="","",ตั้งค่า!$B$4+SUM($H$5:H771)-SUM($I$5:I771))</f>
        <v/>
      </c>
      <c r="K771" s="22" t="str">
        <f aca="false">IF(A771="","",MONTH(A771))</f>
        <v/>
      </c>
      <c r="L771" s="22" t="str">
        <f aca="false">IF(A771="","",YEAR(A771))</f>
        <v/>
      </c>
    </row>
    <row r="772" customFormat="false" ht="15" hidden="false" customHeight="false" outlineLevel="0" collapsed="false">
      <c r="A772" s="23"/>
      <c r="B772" s="24"/>
      <c r="C772" s="24"/>
      <c r="D772" s="20" t="str">
        <f aca="false">IF(C772="","",IF(COUNTIF(ตั้งค่า!$A$7:$A$18,C772)&gt;0,"รายรับ",IF(COUNTIF(ตั้งค่า!$C$7:$C$31,C772)&gt;0,"รายจ่าย","ไม่พบหมวดหมู่")))</f>
        <v/>
      </c>
      <c r="E772" s="25"/>
      <c r="F772" s="24"/>
      <c r="G772" s="24"/>
      <c r="H772" s="21" t="n">
        <f aca="false">IF(OR(E772="",D772&lt;&gt;"รายรับ"),0,E772)</f>
        <v>0</v>
      </c>
      <c r="I772" s="21" t="n">
        <f aca="false">IF(OR(E772="",D772&lt;&gt;"รายจ่าย"),0,E772)</f>
        <v>0</v>
      </c>
      <c r="J772" s="21" t="str">
        <f aca="false">IF(E772="","",ตั้งค่า!$B$4+SUM($H$5:H772)-SUM($I$5:I772))</f>
        <v/>
      </c>
      <c r="K772" s="22" t="str">
        <f aca="false">IF(A772="","",MONTH(A772))</f>
        <v/>
      </c>
      <c r="L772" s="22" t="str">
        <f aca="false">IF(A772="","",YEAR(A772))</f>
        <v/>
      </c>
    </row>
    <row r="773" customFormat="false" ht="15" hidden="false" customHeight="false" outlineLevel="0" collapsed="false">
      <c r="A773" s="23"/>
      <c r="B773" s="24"/>
      <c r="C773" s="24"/>
      <c r="D773" s="20" t="str">
        <f aca="false">IF(C773="","",IF(COUNTIF(ตั้งค่า!$A$7:$A$18,C773)&gt;0,"รายรับ",IF(COUNTIF(ตั้งค่า!$C$7:$C$31,C773)&gt;0,"รายจ่าย","ไม่พบหมวดหมู่")))</f>
        <v/>
      </c>
      <c r="E773" s="25"/>
      <c r="F773" s="24"/>
      <c r="G773" s="24"/>
      <c r="H773" s="21" t="n">
        <f aca="false">IF(OR(E773="",D773&lt;&gt;"รายรับ"),0,E773)</f>
        <v>0</v>
      </c>
      <c r="I773" s="21" t="n">
        <f aca="false">IF(OR(E773="",D773&lt;&gt;"รายจ่าย"),0,E773)</f>
        <v>0</v>
      </c>
      <c r="J773" s="21" t="str">
        <f aca="false">IF(E773="","",ตั้งค่า!$B$4+SUM($H$5:H773)-SUM($I$5:I773))</f>
        <v/>
      </c>
      <c r="K773" s="22" t="str">
        <f aca="false">IF(A773="","",MONTH(A773))</f>
        <v/>
      </c>
      <c r="L773" s="22" t="str">
        <f aca="false">IF(A773="","",YEAR(A773))</f>
        <v/>
      </c>
    </row>
    <row r="774" customFormat="false" ht="15" hidden="false" customHeight="false" outlineLevel="0" collapsed="false">
      <c r="A774" s="23"/>
      <c r="B774" s="24"/>
      <c r="C774" s="24"/>
      <c r="D774" s="20" t="str">
        <f aca="false">IF(C774="","",IF(COUNTIF(ตั้งค่า!$A$7:$A$18,C774)&gt;0,"รายรับ",IF(COUNTIF(ตั้งค่า!$C$7:$C$31,C774)&gt;0,"รายจ่าย","ไม่พบหมวดหมู่")))</f>
        <v/>
      </c>
      <c r="E774" s="25"/>
      <c r="F774" s="24"/>
      <c r="G774" s="24"/>
      <c r="H774" s="21" t="n">
        <f aca="false">IF(OR(E774="",D774&lt;&gt;"รายรับ"),0,E774)</f>
        <v>0</v>
      </c>
      <c r="I774" s="21" t="n">
        <f aca="false">IF(OR(E774="",D774&lt;&gt;"รายจ่าย"),0,E774)</f>
        <v>0</v>
      </c>
      <c r="J774" s="21" t="str">
        <f aca="false">IF(E774="","",ตั้งค่า!$B$4+SUM($H$5:H774)-SUM($I$5:I774))</f>
        <v/>
      </c>
      <c r="K774" s="22" t="str">
        <f aca="false">IF(A774="","",MONTH(A774))</f>
        <v/>
      </c>
      <c r="L774" s="22" t="str">
        <f aca="false">IF(A774="","",YEAR(A774))</f>
        <v/>
      </c>
    </row>
    <row r="775" customFormat="false" ht="15" hidden="false" customHeight="false" outlineLevel="0" collapsed="false">
      <c r="A775" s="23"/>
      <c r="B775" s="24"/>
      <c r="C775" s="24"/>
      <c r="D775" s="20" t="str">
        <f aca="false">IF(C775="","",IF(COUNTIF(ตั้งค่า!$A$7:$A$18,C775)&gt;0,"รายรับ",IF(COUNTIF(ตั้งค่า!$C$7:$C$31,C775)&gt;0,"รายจ่าย","ไม่พบหมวดหมู่")))</f>
        <v/>
      </c>
      <c r="E775" s="25"/>
      <c r="F775" s="24"/>
      <c r="G775" s="24"/>
      <c r="H775" s="21" t="n">
        <f aca="false">IF(OR(E775="",D775&lt;&gt;"รายรับ"),0,E775)</f>
        <v>0</v>
      </c>
      <c r="I775" s="21" t="n">
        <f aca="false">IF(OR(E775="",D775&lt;&gt;"รายจ่าย"),0,E775)</f>
        <v>0</v>
      </c>
      <c r="J775" s="21" t="str">
        <f aca="false">IF(E775="","",ตั้งค่า!$B$4+SUM($H$5:H775)-SUM($I$5:I775))</f>
        <v/>
      </c>
      <c r="K775" s="22" t="str">
        <f aca="false">IF(A775="","",MONTH(A775))</f>
        <v/>
      </c>
      <c r="L775" s="22" t="str">
        <f aca="false">IF(A775="","",YEAR(A775))</f>
        <v/>
      </c>
    </row>
    <row r="776" customFormat="false" ht="15" hidden="false" customHeight="false" outlineLevel="0" collapsed="false">
      <c r="A776" s="23"/>
      <c r="B776" s="24"/>
      <c r="C776" s="24"/>
      <c r="D776" s="20" t="str">
        <f aca="false">IF(C776="","",IF(COUNTIF(ตั้งค่า!$A$7:$A$18,C776)&gt;0,"รายรับ",IF(COUNTIF(ตั้งค่า!$C$7:$C$31,C776)&gt;0,"รายจ่าย","ไม่พบหมวดหมู่")))</f>
        <v/>
      </c>
      <c r="E776" s="25"/>
      <c r="F776" s="24"/>
      <c r="G776" s="24"/>
      <c r="H776" s="21" t="n">
        <f aca="false">IF(OR(E776="",D776&lt;&gt;"รายรับ"),0,E776)</f>
        <v>0</v>
      </c>
      <c r="I776" s="21" t="n">
        <f aca="false">IF(OR(E776="",D776&lt;&gt;"รายจ่าย"),0,E776)</f>
        <v>0</v>
      </c>
      <c r="J776" s="21" t="str">
        <f aca="false">IF(E776="","",ตั้งค่า!$B$4+SUM($H$5:H776)-SUM($I$5:I776))</f>
        <v/>
      </c>
      <c r="K776" s="22" t="str">
        <f aca="false">IF(A776="","",MONTH(A776))</f>
        <v/>
      </c>
      <c r="L776" s="22" t="str">
        <f aca="false">IF(A776="","",YEAR(A776))</f>
        <v/>
      </c>
    </row>
    <row r="777" customFormat="false" ht="15" hidden="false" customHeight="false" outlineLevel="0" collapsed="false">
      <c r="A777" s="23"/>
      <c r="B777" s="24"/>
      <c r="C777" s="24"/>
      <c r="D777" s="20" t="str">
        <f aca="false">IF(C777="","",IF(COUNTIF(ตั้งค่า!$A$7:$A$18,C777)&gt;0,"รายรับ",IF(COUNTIF(ตั้งค่า!$C$7:$C$31,C777)&gt;0,"รายจ่าย","ไม่พบหมวดหมู่")))</f>
        <v/>
      </c>
      <c r="E777" s="25"/>
      <c r="F777" s="24"/>
      <c r="G777" s="24"/>
      <c r="H777" s="21" t="n">
        <f aca="false">IF(OR(E777="",D777&lt;&gt;"รายรับ"),0,E777)</f>
        <v>0</v>
      </c>
      <c r="I777" s="21" t="n">
        <f aca="false">IF(OR(E777="",D777&lt;&gt;"รายจ่าย"),0,E777)</f>
        <v>0</v>
      </c>
      <c r="J777" s="21" t="str">
        <f aca="false">IF(E777="","",ตั้งค่า!$B$4+SUM($H$5:H777)-SUM($I$5:I777))</f>
        <v/>
      </c>
      <c r="K777" s="22" t="str">
        <f aca="false">IF(A777="","",MONTH(A777))</f>
        <v/>
      </c>
      <c r="L777" s="22" t="str">
        <f aca="false">IF(A777="","",YEAR(A777))</f>
        <v/>
      </c>
    </row>
    <row r="778" customFormat="false" ht="15" hidden="false" customHeight="false" outlineLevel="0" collapsed="false">
      <c r="A778" s="23"/>
      <c r="B778" s="24"/>
      <c r="C778" s="24"/>
      <c r="D778" s="20" t="str">
        <f aca="false">IF(C778="","",IF(COUNTIF(ตั้งค่า!$A$7:$A$18,C778)&gt;0,"รายรับ",IF(COUNTIF(ตั้งค่า!$C$7:$C$31,C778)&gt;0,"รายจ่าย","ไม่พบหมวดหมู่")))</f>
        <v/>
      </c>
      <c r="E778" s="25"/>
      <c r="F778" s="24"/>
      <c r="G778" s="24"/>
      <c r="H778" s="21" t="n">
        <f aca="false">IF(OR(E778="",D778&lt;&gt;"รายรับ"),0,E778)</f>
        <v>0</v>
      </c>
      <c r="I778" s="21" t="n">
        <f aca="false">IF(OR(E778="",D778&lt;&gt;"รายจ่าย"),0,E778)</f>
        <v>0</v>
      </c>
      <c r="J778" s="21" t="str">
        <f aca="false">IF(E778="","",ตั้งค่า!$B$4+SUM($H$5:H778)-SUM($I$5:I778))</f>
        <v/>
      </c>
      <c r="K778" s="22" t="str">
        <f aca="false">IF(A778="","",MONTH(A778))</f>
        <v/>
      </c>
      <c r="L778" s="22" t="str">
        <f aca="false">IF(A778="","",YEAR(A778))</f>
        <v/>
      </c>
    </row>
    <row r="779" customFormat="false" ht="15" hidden="false" customHeight="false" outlineLevel="0" collapsed="false">
      <c r="A779" s="23"/>
      <c r="B779" s="24"/>
      <c r="C779" s="24"/>
      <c r="D779" s="20" t="str">
        <f aca="false">IF(C779="","",IF(COUNTIF(ตั้งค่า!$A$7:$A$18,C779)&gt;0,"รายรับ",IF(COUNTIF(ตั้งค่า!$C$7:$C$31,C779)&gt;0,"รายจ่าย","ไม่พบหมวดหมู่")))</f>
        <v/>
      </c>
      <c r="E779" s="25"/>
      <c r="F779" s="24"/>
      <c r="G779" s="24"/>
      <c r="H779" s="21" t="n">
        <f aca="false">IF(OR(E779="",D779&lt;&gt;"รายรับ"),0,E779)</f>
        <v>0</v>
      </c>
      <c r="I779" s="21" t="n">
        <f aca="false">IF(OR(E779="",D779&lt;&gt;"รายจ่าย"),0,E779)</f>
        <v>0</v>
      </c>
      <c r="J779" s="21" t="str">
        <f aca="false">IF(E779="","",ตั้งค่า!$B$4+SUM($H$5:H779)-SUM($I$5:I779))</f>
        <v/>
      </c>
      <c r="K779" s="22" t="str">
        <f aca="false">IF(A779="","",MONTH(A779))</f>
        <v/>
      </c>
      <c r="L779" s="22" t="str">
        <f aca="false">IF(A779="","",YEAR(A779))</f>
        <v/>
      </c>
    </row>
    <row r="780" customFormat="false" ht="15" hidden="false" customHeight="false" outlineLevel="0" collapsed="false">
      <c r="A780" s="23"/>
      <c r="B780" s="24"/>
      <c r="C780" s="24"/>
      <c r="D780" s="20" t="str">
        <f aca="false">IF(C780="","",IF(COUNTIF(ตั้งค่า!$A$7:$A$18,C780)&gt;0,"รายรับ",IF(COUNTIF(ตั้งค่า!$C$7:$C$31,C780)&gt;0,"รายจ่าย","ไม่พบหมวดหมู่")))</f>
        <v/>
      </c>
      <c r="E780" s="25"/>
      <c r="F780" s="24"/>
      <c r="G780" s="24"/>
      <c r="H780" s="21" t="n">
        <f aca="false">IF(OR(E780="",D780&lt;&gt;"รายรับ"),0,E780)</f>
        <v>0</v>
      </c>
      <c r="I780" s="21" t="n">
        <f aca="false">IF(OR(E780="",D780&lt;&gt;"รายจ่าย"),0,E780)</f>
        <v>0</v>
      </c>
      <c r="J780" s="21" t="str">
        <f aca="false">IF(E780="","",ตั้งค่า!$B$4+SUM($H$5:H780)-SUM($I$5:I780))</f>
        <v/>
      </c>
      <c r="K780" s="22" t="str">
        <f aca="false">IF(A780="","",MONTH(A780))</f>
        <v/>
      </c>
      <c r="L780" s="22" t="str">
        <f aca="false">IF(A780="","",YEAR(A780))</f>
        <v/>
      </c>
    </row>
    <row r="781" customFormat="false" ht="15" hidden="false" customHeight="false" outlineLevel="0" collapsed="false">
      <c r="A781" s="23"/>
      <c r="B781" s="24"/>
      <c r="C781" s="24"/>
      <c r="D781" s="20" t="str">
        <f aca="false">IF(C781="","",IF(COUNTIF(ตั้งค่า!$A$7:$A$18,C781)&gt;0,"รายรับ",IF(COUNTIF(ตั้งค่า!$C$7:$C$31,C781)&gt;0,"รายจ่าย","ไม่พบหมวดหมู่")))</f>
        <v/>
      </c>
      <c r="E781" s="25"/>
      <c r="F781" s="24"/>
      <c r="G781" s="24"/>
      <c r="H781" s="21" t="n">
        <f aca="false">IF(OR(E781="",D781&lt;&gt;"รายรับ"),0,E781)</f>
        <v>0</v>
      </c>
      <c r="I781" s="21" t="n">
        <f aca="false">IF(OR(E781="",D781&lt;&gt;"รายจ่าย"),0,E781)</f>
        <v>0</v>
      </c>
      <c r="J781" s="21" t="str">
        <f aca="false">IF(E781="","",ตั้งค่า!$B$4+SUM($H$5:H781)-SUM($I$5:I781))</f>
        <v/>
      </c>
      <c r="K781" s="22" t="str">
        <f aca="false">IF(A781="","",MONTH(A781))</f>
        <v/>
      </c>
      <c r="L781" s="22" t="str">
        <f aca="false">IF(A781="","",YEAR(A781))</f>
        <v/>
      </c>
    </row>
    <row r="782" customFormat="false" ht="15" hidden="false" customHeight="false" outlineLevel="0" collapsed="false">
      <c r="A782" s="23"/>
      <c r="B782" s="24"/>
      <c r="C782" s="24"/>
      <c r="D782" s="20" t="str">
        <f aca="false">IF(C782="","",IF(COUNTIF(ตั้งค่า!$A$7:$A$18,C782)&gt;0,"รายรับ",IF(COUNTIF(ตั้งค่า!$C$7:$C$31,C782)&gt;0,"รายจ่าย","ไม่พบหมวดหมู่")))</f>
        <v/>
      </c>
      <c r="E782" s="25"/>
      <c r="F782" s="24"/>
      <c r="G782" s="24"/>
      <c r="H782" s="21" t="n">
        <f aca="false">IF(OR(E782="",D782&lt;&gt;"รายรับ"),0,E782)</f>
        <v>0</v>
      </c>
      <c r="I782" s="21" t="n">
        <f aca="false">IF(OR(E782="",D782&lt;&gt;"รายจ่าย"),0,E782)</f>
        <v>0</v>
      </c>
      <c r="J782" s="21" t="str">
        <f aca="false">IF(E782="","",ตั้งค่า!$B$4+SUM($H$5:H782)-SUM($I$5:I782))</f>
        <v/>
      </c>
      <c r="K782" s="22" t="str">
        <f aca="false">IF(A782="","",MONTH(A782))</f>
        <v/>
      </c>
      <c r="L782" s="22" t="str">
        <f aca="false">IF(A782="","",YEAR(A782))</f>
        <v/>
      </c>
    </row>
    <row r="783" customFormat="false" ht="15" hidden="false" customHeight="false" outlineLevel="0" collapsed="false">
      <c r="A783" s="23"/>
      <c r="B783" s="24"/>
      <c r="C783" s="24"/>
      <c r="D783" s="20" t="str">
        <f aca="false">IF(C783="","",IF(COUNTIF(ตั้งค่า!$A$7:$A$18,C783)&gt;0,"รายรับ",IF(COUNTIF(ตั้งค่า!$C$7:$C$31,C783)&gt;0,"รายจ่าย","ไม่พบหมวดหมู่")))</f>
        <v/>
      </c>
      <c r="E783" s="25"/>
      <c r="F783" s="24"/>
      <c r="G783" s="24"/>
      <c r="H783" s="21" t="n">
        <f aca="false">IF(OR(E783="",D783&lt;&gt;"รายรับ"),0,E783)</f>
        <v>0</v>
      </c>
      <c r="I783" s="21" t="n">
        <f aca="false">IF(OR(E783="",D783&lt;&gt;"รายจ่าย"),0,E783)</f>
        <v>0</v>
      </c>
      <c r="J783" s="21" t="str">
        <f aca="false">IF(E783="","",ตั้งค่า!$B$4+SUM($H$5:H783)-SUM($I$5:I783))</f>
        <v/>
      </c>
      <c r="K783" s="22" t="str">
        <f aca="false">IF(A783="","",MONTH(A783))</f>
        <v/>
      </c>
      <c r="L783" s="22" t="str">
        <f aca="false">IF(A783="","",YEAR(A783))</f>
        <v/>
      </c>
    </row>
    <row r="784" customFormat="false" ht="15" hidden="false" customHeight="false" outlineLevel="0" collapsed="false">
      <c r="A784" s="23"/>
      <c r="B784" s="24"/>
      <c r="C784" s="24"/>
      <c r="D784" s="20" t="str">
        <f aca="false">IF(C784="","",IF(COUNTIF(ตั้งค่า!$A$7:$A$18,C784)&gt;0,"รายรับ",IF(COUNTIF(ตั้งค่า!$C$7:$C$31,C784)&gt;0,"รายจ่าย","ไม่พบหมวดหมู่")))</f>
        <v/>
      </c>
      <c r="E784" s="25"/>
      <c r="F784" s="24"/>
      <c r="G784" s="24"/>
      <c r="H784" s="21" t="n">
        <f aca="false">IF(OR(E784="",D784&lt;&gt;"รายรับ"),0,E784)</f>
        <v>0</v>
      </c>
      <c r="I784" s="21" t="n">
        <f aca="false">IF(OR(E784="",D784&lt;&gt;"รายจ่าย"),0,E784)</f>
        <v>0</v>
      </c>
      <c r="J784" s="21" t="str">
        <f aca="false">IF(E784="","",ตั้งค่า!$B$4+SUM($H$5:H784)-SUM($I$5:I784))</f>
        <v/>
      </c>
      <c r="K784" s="22" t="str">
        <f aca="false">IF(A784="","",MONTH(A784))</f>
        <v/>
      </c>
      <c r="L784" s="22" t="str">
        <f aca="false">IF(A784="","",YEAR(A784))</f>
        <v/>
      </c>
    </row>
    <row r="785" customFormat="false" ht="15" hidden="false" customHeight="false" outlineLevel="0" collapsed="false">
      <c r="A785" s="23"/>
      <c r="B785" s="24"/>
      <c r="C785" s="24"/>
      <c r="D785" s="20" t="str">
        <f aca="false">IF(C785="","",IF(COUNTIF(ตั้งค่า!$A$7:$A$18,C785)&gt;0,"รายรับ",IF(COUNTIF(ตั้งค่า!$C$7:$C$31,C785)&gt;0,"รายจ่าย","ไม่พบหมวดหมู่")))</f>
        <v/>
      </c>
      <c r="E785" s="25"/>
      <c r="F785" s="24"/>
      <c r="G785" s="24"/>
      <c r="H785" s="21" t="n">
        <f aca="false">IF(OR(E785="",D785&lt;&gt;"รายรับ"),0,E785)</f>
        <v>0</v>
      </c>
      <c r="I785" s="21" t="n">
        <f aca="false">IF(OR(E785="",D785&lt;&gt;"รายจ่าย"),0,E785)</f>
        <v>0</v>
      </c>
      <c r="J785" s="21" t="str">
        <f aca="false">IF(E785="","",ตั้งค่า!$B$4+SUM($H$5:H785)-SUM($I$5:I785))</f>
        <v/>
      </c>
      <c r="K785" s="22" t="str">
        <f aca="false">IF(A785="","",MONTH(A785))</f>
        <v/>
      </c>
      <c r="L785" s="22" t="str">
        <f aca="false">IF(A785="","",YEAR(A785))</f>
        <v/>
      </c>
    </row>
    <row r="786" customFormat="false" ht="15" hidden="false" customHeight="false" outlineLevel="0" collapsed="false">
      <c r="A786" s="23"/>
      <c r="B786" s="24"/>
      <c r="C786" s="24"/>
      <c r="D786" s="20" t="str">
        <f aca="false">IF(C786="","",IF(COUNTIF(ตั้งค่า!$A$7:$A$18,C786)&gt;0,"รายรับ",IF(COUNTIF(ตั้งค่า!$C$7:$C$31,C786)&gt;0,"รายจ่าย","ไม่พบหมวดหมู่")))</f>
        <v/>
      </c>
      <c r="E786" s="25"/>
      <c r="F786" s="24"/>
      <c r="G786" s="24"/>
      <c r="H786" s="21" t="n">
        <f aca="false">IF(OR(E786="",D786&lt;&gt;"รายรับ"),0,E786)</f>
        <v>0</v>
      </c>
      <c r="I786" s="21" t="n">
        <f aca="false">IF(OR(E786="",D786&lt;&gt;"รายจ่าย"),0,E786)</f>
        <v>0</v>
      </c>
      <c r="J786" s="21" t="str">
        <f aca="false">IF(E786="","",ตั้งค่า!$B$4+SUM($H$5:H786)-SUM($I$5:I786))</f>
        <v/>
      </c>
      <c r="K786" s="22" t="str">
        <f aca="false">IF(A786="","",MONTH(A786))</f>
        <v/>
      </c>
      <c r="L786" s="22" t="str">
        <f aca="false">IF(A786="","",YEAR(A786))</f>
        <v/>
      </c>
    </row>
    <row r="787" customFormat="false" ht="15" hidden="false" customHeight="false" outlineLevel="0" collapsed="false">
      <c r="A787" s="23"/>
      <c r="B787" s="24"/>
      <c r="C787" s="24"/>
      <c r="D787" s="20" t="str">
        <f aca="false">IF(C787="","",IF(COUNTIF(ตั้งค่า!$A$7:$A$18,C787)&gt;0,"รายรับ",IF(COUNTIF(ตั้งค่า!$C$7:$C$31,C787)&gt;0,"รายจ่าย","ไม่พบหมวดหมู่")))</f>
        <v/>
      </c>
      <c r="E787" s="25"/>
      <c r="F787" s="24"/>
      <c r="G787" s="24"/>
      <c r="H787" s="21" t="n">
        <f aca="false">IF(OR(E787="",D787&lt;&gt;"รายรับ"),0,E787)</f>
        <v>0</v>
      </c>
      <c r="I787" s="21" t="n">
        <f aca="false">IF(OR(E787="",D787&lt;&gt;"รายจ่าย"),0,E787)</f>
        <v>0</v>
      </c>
      <c r="J787" s="21" t="str">
        <f aca="false">IF(E787="","",ตั้งค่า!$B$4+SUM($H$5:H787)-SUM($I$5:I787))</f>
        <v/>
      </c>
      <c r="K787" s="22" t="str">
        <f aca="false">IF(A787="","",MONTH(A787))</f>
        <v/>
      </c>
      <c r="L787" s="22" t="str">
        <f aca="false">IF(A787="","",YEAR(A787))</f>
        <v/>
      </c>
    </row>
    <row r="788" customFormat="false" ht="15" hidden="false" customHeight="false" outlineLevel="0" collapsed="false">
      <c r="A788" s="23"/>
      <c r="B788" s="24"/>
      <c r="C788" s="24"/>
      <c r="D788" s="20" t="str">
        <f aca="false">IF(C788="","",IF(COUNTIF(ตั้งค่า!$A$7:$A$18,C788)&gt;0,"รายรับ",IF(COUNTIF(ตั้งค่า!$C$7:$C$31,C788)&gt;0,"รายจ่าย","ไม่พบหมวดหมู่")))</f>
        <v/>
      </c>
      <c r="E788" s="25"/>
      <c r="F788" s="24"/>
      <c r="G788" s="24"/>
      <c r="H788" s="21" t="n">
        <f aca="false">IF(OR(E788="",D788&lt;&gt;"รายรับ"),0,E788)</f>
        <v>0</v>
      </c>
      <c r="I788" s="21" t="n">
        <f aca="false">IF(OR(E788="",D788&lt;&gt;"รายจ่าย"),0,E788)</f>
        <v>0</v>
      </c>
      <c r="J788" s="21" t="str">
        <f aca="false">IF(E788="","",ตั้งค่า!$B$4+SUM($H$5:H788)-SUM($I$5:I788))</f>
        <v/>
      </c>
      <c r="K788" s="22" t="str">
        <f aca="false">IF(A788="","",MONTH(A788))</f>
        <v/>
      </c>
      <c r="L788" s="22" t="str">
        <f aca="false">IF(A788="","",YEAR(A788))</f>
        <v/>
      </c>
    </row>
    <row r="789" customFormat="false" ht="15" hidden="false" customHeight="false" outlineLevel="0" collapsed="false">
      <c r="A789" s="23"/>
      <c r="B789" s="24"/>
      <c r="C789" s="24"/>
      <c r="D789" s="20" t="str">
        <f aca="false">IF(C789="","",IF(COUNTIF(ตั้งค่า!$A$7:$A$18,C789)&gt;0,"รายรับ",IF(COUNTIF(ตั้งค่า!$C$7:$C$31,C789)&gt;0,"รายจ่าย","ไม่พบหมวดหมู่")))</f>
        <v/>
      </c>
      <c r="E789" s="25"/>
      <c r="F789" s="24"/>
      <c r="G789" s="24"/>
      <c r="H789" s="21" t="n">
        <f aca="false">IF(OR(E789="",D789&lt;&gt;"รายรับ"),0,E789)</f>
        <v>0</v>
      </c>
      <c r="I789" s="21" t="n">
        <f aca="false">IF(OR(E789="",D789&lt;&gt;"รายจ่าย"),0,E789)</f>
        <v>0</v>
      </c>
      <c r="J789" s="21" t="str">
        <f aca="false">IF(E789="","",ตั้งค่า!$B$4+SUM($H$5:H789)-SUM($I$5:I789))</f>
        <v/>
      </c>
      <c r="K789" s="22" t="str">
        <f aca="false">IF(A789="","",MONTH(A789))</f>
        <v/>
      </c>
      <c r="L789" s="22" t="str">
        <f aca="false">IF(A789="","",YEAR(A789))</f>
        <v/>
      </c>
    </row>
    <row r="790" customFormat="false" ht="15" hidden="false" customHeight="false" outlineLevel="0" collapsed="false">
      <c r="A790" s="23"/>
      <c r="B790" s="24"/>
      <c r="C790" s="24"/>
      <c r="D790" s="20" t="str">
        <f aca="false">IF(C790="","",IF(COUNTIF(ตั้งค่า!$A$7:$A$18,C790)&gt;0,"รายรับ",IF(COUNTIF(ตั้งค่า!$C$7:$C$31,C790)&gt;0,"รายจ่าย","ไม่พบหมวดหมู่")))</f>
        <v/>
      </c>
      <c r="E790" s="25"/>
      <c r="F790" s="24"/>
      <c r="G790" s="24"/>
      <c r="H790" s="21" t="n">
        <f aca="false">IF(OR(E790="",D790&lt;&gt;"รายรับ"),0,E790)</f>
        <v>0</v>
      </c>
      <c r="I790" s="21" t="n">
        <f aca="false">IF(OR(E790="",D790&lt;&gt;"รายจ่าย"),0,E790)</f>
        <v>0</v>
      </c>
      <c r="J790" s="21" t="str">
        <f aca="false">IF(E790="","",ตั้งค่า!$B$4+SUM($H$5:H790)-SUM($I$5:I790))</f>
        <v/>
      </c>
      <c r="K790" s="22" t="str">
        <f aca="false">IF(A790="","",MONTH(A790))</f>
        <v/>
      </c>
      <c r="L790" s="22" t="str">
        <f aca="false">IF(A790="","",YEAR(A790))</f>
        <v/>
      </c>
    </row>
    <row r="791" customFormat="false" ht="15" hidden="false" customHeight="false" outlineLevel="0" collapsed="false">
      <c r="A791" s="23"/>
      <c r="B791" s="24"/>
      <c r="C791" s="24"/>
      <c r="D791" s="20" t="str">
        <f aca="false">IF(C791="","",IF(COUNTIF(ตั้งค่า!$A$7:$A$18,C791)&gt;0,"รายรับ",IF(COUNTIF(ตั้งค่า!$C$7:$C$31,C791)&gt;0,"รายจ่าย","ไม่พบหมวดหมู่")))</f>
        <v/>
      </c>
      <c r="E791" s="25"/>
      <c r="F791" s="24"/>
      <c r="G791" s="24"/>
      <c r="H791" s="21" t="n">
        <f aca="false">IF(OR(E791="",D791&lt;&gt;"รายรับ"),0,E791)</f>
        <v>0</v>
      </c>
      <c r="I791" s="21" t="n">
        <f aca="false">IF(OR(E791="",D791&lt;&gt;"รายจ่าย"),0,E791)</f>
        <v>0</v>
      </c>
      <c r="J791" s="21" t="str">
        <f aca="false">IF(E791="","",ตั้งค่า!$B$4+SUM($H$5:H791)-SUM($I$5:I791))</f>
        <v/>
      </c>
      <c r="K791" s="22" t="str">
        <f aca="false">IF(A791="","",MONTH(A791))</f>
        <v/>
      </c>
      <c r="L791" s="22" t="str">
        <f aca="false">IF(A791="","",YEAR(A791))</f>
        <v/>
      </c>
    </row>
    <row r="792" customFormat="false" ht="15" hidden="false" customHeight="false" outlineLevel="0" collapsed="false">
      <c r="A792" s="23"/>
      <c r="B792" s="24"/>
      <c r="C792" s="24"/>
      <c r="D792" s="20" t="str">
        <f aca="false">IF(C792="","",IF(COUNTIF(ตั้งค่า!$A$7:$A$18,C792)&gt;0,"รายรับ",IF(COUNTIF(ตั้งค่า!$C$7:$C$31,C792)&gt;0,"รายจ่าย","ไม่พบหมวดหมู่")))</f>
        <v/>
      </c>
      <c r="E792" s="25"/>
      <c r="F792" s="24"/>
      <c r="G792" s="24"/>
      <c r="H792" s="21" t="n">
        <f aca="false">IF(OR(E792="",D792&lt;&gt;"รายรับ"),0,E792)</f>
        <v>0</v>
      </c>
      <c r="I792" s="21" t="n">
        <f aca="false">IF(OR(E792="",D792&lt;&gt;"รายจ่าย"),0,E792)</f>
        <v>0</v>
      </c>
      <c r="J792" s="21" t="str">
        <f aca="false">IF(E792="","",ตั้งค่า!$B$4+SUM($H$5:H792)-SUM($I$5:I792))</f>
        <v/>
      </c>
      <c r="K792" s="22" t="str">
        <f aca="false">IF(A792="","",MONTH(A792))</f>
        <v/>
      </c>
      <c r="L792" s="22" t="str">
        <f aca="false">IF(A792="","",YEAR(A792))</f>
        <v/>
      </c>
    </row>
    <row r="793" customFormat="false" ht="15" hidden="false" customHeight="false" outlineLevel="0" collapsed="false">
      <c r="A793" s="23"/>
      <c r="B793" s="24"/>
      <c r="C793" s="24"/>
      <c r="D793" s="20" t="str">
        <f aca="false">IF(C793="","",IF(COUNTIF(ตั้งค่า!$A$7:$A$18,C793)&gt;0,"รายรับ",IF(COUNTIF(ตั้งค่า!$C$7:$C$31,C793)&gt;0,"รายจ่าย","ไม่พบหมวดหมู่")))</f>
        <v/>
      </c>
      <c r="E793" s="25"/>
      <c r="F793" s="24"/>
      <c r="G793" s="24"/>
      <c r="H793" s="21" t="n">
        <f aca="false">IF(OR(E793="",D793&lt;&gt;"รายรับ"),0,E793)</f>
        <v>0</v>
      </c>
      <c r="I793" s="21" t="n">
        <f aca="false">IF(OR(E793="",D793&lt;&gt;"รายจ่าย"),0,E793)</f>
        <v>0</v>
      </c>
      <c r="J793" s="21" t="str">
        <f aca="false">IF(E793="","",ตั้งค่า!$B$4+SUM($H$5:H793)-SUM($I$5:I793))</f>
        <v/>
      </c>
      <c r="K793" s="22" t="str">
        <f aca="false">IF(A793="","",MONTH(A793))</f>
        <v/>
      </c>
      <c r="L793" s="22" t="str">
        <f aca="false">IF(A793="","",YEAR(A793))</f>
        <v/>
      </c>
    </row>
    <row r="794" customFormat="false" ht="15" hidden="false" customHeight="false" outlineLevel="0" collapsed="false">
      <c r="A794" s="23"/>
      <c r="B794" s="24"/>
      <c r="C794" s="24"/>
      <c r="D794" s="20" t="str">
        <f aca="false">IF(C794="","",IF(COUNTIF(ตั้งค่า!$A$7:$A$18,C794)&gt;0,"รายรับ",IF(COUNTIF(ตั้งค่า!$C$7:$C$31,C794)&gt;0,"รายจ่าย","ไม่พบหมวดหมู่")))</f>
        <v/>
      </c>
      <c r="E794" s="25"/>
      <c r="F794" s="24"/>
      <c r="G794" s="24"/>
      <c r="H794" s="21" t="n">
        <f aca="false">IF(OR(E794="",D794&lt;&gt;"รายรับ"),0,E794)</f>
        <v>0</v>
      </c>
      <c r="I794" s="21" t="n">
        <f aca="false">IF(OR(E794="",D794&lt;&gt;"รายจ่าย"),0,E794)</f>
        <v>0</v>
      </c>
      <c r="J794" s="21" t="str">
        <f aca="false">IF(E794="","",ตั้งค่า!$B$4+SUM($H$5:H794)-SUM($I$5:I794))</f>
        <v/>
      </c>
      <c r="K794" s="22" t="str">
        <f aca="false">IF(A794="","",MONTH(A794))</f>
        <v/>
      </c>
      <c r="L794" s="22" t="str">
        <f aca="false">IF(A794="","",YEAR(A794))</f>
        <v/>
      </c>
    </row>
    <row r="795" customFormat="false" ht="15" hidden="false" customHeight="false" outlineLevel="0" collapsed="false">
      <c r="A795" s="23"/>
      <c r="B795" s="24"/>
      <c r="C795" s="24"/>
      <c r="D795" s="20" t="str">
        <f aca="false">IF(C795="","",IF(COUNTIF(ตั้งค่า!$A$7:$A$18,C795)&gt;0,"รายรับ",IF(COUNTIF(ตั้งค่า!$C$7:$C$31,C795)&gt;0,"รายจ่าย","ไม่พบหมวดหมู่")))</f>
        <v/>
      </c>
      <c r="E795" s="25"/>
      <c r="F795" s="24"/>
      <c r="G795" s="24"/>
      <c r="H795" s="21" t="n">
        <f aca="false">IF(OR(E795="",D795&lt;&gt;"รายรับ"),0,E795)</f>
        <v>0</v>
      </c>
      <c r="I795" s="21" t="n">
        <f aca="false">IF(OR(E795="",D795&lt;&gt;"รายจ่าย"),0,E795)</f>
        <v>0</v>
      </c>
      <c r="J795" s="21" t="str">
        <f aca="false">IF(E795="","",ตั้งค่า!$B$4+SUM($H$5:H795)-SUM($I$5:I795))</f>
        <v/>
      </c>
      <c r="K795" s="22" t="str">
        <f aca="false">IF(A795="","",MONTH(A795))</f>
        <v/>
      </c>
      <c r="L795" s="22" t="str">
        <f aca="false">IF(A795="","",YEAR(A795))</f>
        <v/>
      </c>
    </row>
    <row r="796" customFormat="false" ht="15" hidden="false" customHeight="false" outlineLevel="0" collapsed="false">
      <c r="A796" s="23"/>
      <c r="B796" s="24"/>
      <c r="C796" s="24"/>
      <c r="D796" s="20" t="str">
        <f aca="false">IF(C796="","",IF(COUNTIF(ตั้งค่า!$A$7:$A$18,C796)&gt;0,"รายรับ",IF(COUNTIF(ตั้งค่า!$C$7:$C$31,C796)&gt;0,"รายจ่าย","ไม่พบหมวดหมู่")))</f>
        <v/>
      </c>
      <c r="E796" s="25"/>
      <c r="F796" s="24"/>
      <c r="G796" s="24"/>
      <c r="H796" s="21" t="n">
        <f aca="false">IF(OR(E796="",D796&lt;&gt;"รายรับ"),0,E796)</f>
        <v>0</v>
      </c>
      <c r="I796" s="21" t="n">
        <f aca="false">IF(OR(E796="",D796&lt;&gt;"รายจ่าย"),0,E796)</f>
        <v>0</v>
      </c>
      <c r="J796" s="21" t="str">
        <f aca="false">IF(E796="","",ตั้งค่า!$B$4+SUM($H$5:H796)-SUM($I$5:I796))</f>
        <v/>
      </c>
      <c r="K796" s="22" t="str">
        <f aca="false">IF(A796="","",MONTH(A796))</f>
        <v/>
      </c>
      <c r="L796" s="22" t="str">
        <f aca="false">IF(A796="","",YEAR(A796))</f>
        <v/>
      </c>
    </row>
    <row r="797" customFormat="false" ht="15" hidden="false" customHeight="false" outlineLevel="0" collapsed="false">
      <c r="A797" s="23"/>
      <c r="B797" s="24"/>
      <c r="C797" s="24"/>
      <c r="D797" s="20" t="str">
        <f aca="false">IF(C797="","",IF(COUNTIF(ตั้งค่า!$A$7:$A$18,C797)&gt;0,"รายรับ",IF(COUNTIF(ตั้งค่า!$C$7:$C$31,C797)&gt;0,"รายจ่าย","ไม่พบหมวดหมู่")))</f>
        <v/>
      </c>
      <c r="E797" s="25"/>
      <c r="F797" s="24"/>
      <c r="G797" s="24"/>
      <c r="H797" s="21" t="n">
        <f aca="false">IF(OR(E797="",D797&lt;&gt;"รายรับ"),0,E797)</f>
        <v>0</v>
      </c>
      <c r="I797" s="21" t="n">
        <f aca="false">IF(OR(E797="",D797&lt;&gt;"รายจ่าย"),0,E797)</f>
        <v>0</v>
      </c>
      <c r="J797" s="21" t="str">
        <f aca="false">IF(E797="","",ตั้งค่า!$B$4+SUM($H$5:H797)-SUM($I$5:I797))</f>
        <v/>
      </c>
      <c r="K797" s="22" t="str">
        <f aca="false">IF(A797="","",MONTH(A797))</f>
        <v/>
      </c>
      <c r="L797" s="22" t="str">
        <f aca="false">IF(A797="","",YEAR(A797))</f>
        <v/>
      </c>
    </row>
    <row r="798" customFormat="false" ht="15" hidden="false" customHeight="false" outlineLevel="0" collapsed="false">
      <c r="A798" s="23"/>
      <c r="B798" s="24"/>
      <c r="C798" s="24"/>
      <c r="D798" s="20" t="str">
        <f aca="false">IF(C798="","",IF(COUNTIF(ตั้งค่า!$A$7:$A$18,C798)&gt;0,"รายรับ",IF(COUNTIF(ตั้งค่า!$C$7:$C$31,C798)&gt;0,"รายจ่าย","ไม่พบหมวดหมู่")))</f>
        <v/>
      </c>
      <c r="E798" s="25"/>
      <c r="F798" s="24"/>
      <c r="G798" s="24"/>
      <c r="H798" s="21" t="n">
        <f aca="false">IF(OR(E798="",D798&lt;&gt;"รายรับ"),0,E798)</f>
        <v>0</v>
      </c>
      <c r="I798" s="21" t="n">
        <f aca="false">IF(OR(E798="",D798&lt;&gt;"รายจ่าย"),0,E798)</f>
        <v>0</v>
      </c>
      <c r="J798" s="21" t="str">
        <f aca="false">IF(E798="","",ตั้งค่า!$B$4+SUM($H$5:H798)-SUM($I$5:I798))</f>
        <v/>
      </c>
      <c r="K798" s="22" t="str">
        <f aca="false">IF(A798="","",MONTH(A798))</f>
        <v/>
      </c>
      <c r="L798" s="22" t="str">
        <f aca="false">IF(A798="","",YEAR(A798))</f>
        <v/>
      </c>
    </row>
    <row r="799" customFormat="false" ht="15" hidden="false" customHeight="false" outlineLevel="0" collapsed="false">
      <c r="A799" s="23"/>
      <c r="B799" s="24"/>
      <c r="C799" s="24"/>
      <c r="D799" s="20" t="str">
        <f aca="false">IF(C799="","",IF(COUNTIF(ตั้งค่า!$A$7:$A$18,C799)&gt;0,"รายรับ",IF(COUNTIF(ตั้งค่า!$C$7:$C$31,C799)&gt;0,"รายจ่าย","ไม่พบหมวดหมู่")))</f>
        <v/>
      </c>
      <c r="E799" s="25"/>
      <c r="F799" s="24"/>
      <c r="G799" s="24"/>
      <c r="H799" s="21" t="n">
        <f aca="false">IF(OR(E799="",D799&lt;&gt;"รายรับ"),0,E799)</f>
        <v>0</v>
      </c>
      <c r="I799" s="21" t="n">
        <f aca="false">IF(OR(E799="",D799&lt;&gt;"รายจ่าย"),0,E799)</f>
        <v>0</v>
      </c>
      <c r="J799" s="21" t="str">
        <f aca="false">IF(E799="","",ตั้งค่า!$B$4+SUM($H$5:H799)-SUM($I$5:I799))</f>
        <v/>
      </c>
      <c r="K799" s="22" t="str">
        <f aca="false">IF(A799="","",MONTH(A799))</f>
        <v/>
      </c>
      <c r="L799" s="22" t="str">
        <f aca="false">IF(A799="","",YEAR(A799))</f>
        <v/>
      </c>
    </row>
    <row r="800" customFormat="false" ht="15" hidden="false" customHeight="false" outlineLevel="0" collapsed="false">
      <c r="A800" s="23"/>
      <c r="B800" s="24"/>
      <c r="C800" s="24"/>
      <c r="D800" s="20" t="str">
        <f aca="false">IF(C800="","",IF(COUNTIF(ตั้งค่า!$A$7:$A$18,C800)&gt;0,"รายรับ",IF(COUNTIF(ตั้งค่า!$C$7:$C$31,C800)&gt;0,"รายจ่าย","ไม่พบหมวดหมู่")))</f>
        <v/>
      </c>
      <c r="E800" s="25"/>
      <c r="F800" s="24"/>
      <c r="G800" s="24"/>
      <c r="H800" s="21" t="n">
        <f aca="false">IF(OR(E800="",D800&lt;&gt;"รายรับ"),0,E800)</f>
        <v>0</v>
      </c>
      <c r="I800" s="21" t="n">
        <f aca="false">IF(OR(E800="",D800&lt;&gt;"รายจ่าย"),0,E800)</f>
        <v>0</v>
      </c>
      <c r="J800" s="21" t="str">
        <f aca="false">IF(E800="","",ตั้งค่า!$B$4+SUM($H$5:H800)-SUM($I$5:I800))</f>
        <v/>
      </c>
      <c r="K800" s="22" t="str">
        <f aca="false">IF(A800="","",MONTH(A800))</f>
        <v/>
      </c>
      <c r="L800" s="22" t="str">
        <f aca="false">IF(A800="","",YEAR(A800))</f>
        <v/>
      </c>
    </row>
    <row r="801" customFormat="false" ht="15" hidden="false" customHeight="false" outlineLevel="0" collapsed="false">
      <c r="A801" s="23"/>
      <c r="B801" s="24"/>
      <c r="C801" s="24"/>
      <c r="D801" s="20" t="str">
        <f aca="false">IF(C801="","",IF(COUNTIF(ตั้งค่า!$A$7:$A$18,C801)&gt;0,"รายรับ",IF(COUNTIF(ตั้งค่า!$C$7:$C$31,C801)&gt;0,"รายจ่าย","ไม่พบหมวดหมู่")))</f>
        <v/>
      </c>
      <c r="E801" s="25"/>
      <c r="F801" s="24"/>
      <c r="G801" s="24"/>
      <c r="H801" s="21" t="n">
        <f aca="false">IF(OR(E801="",D801&lt;&gt;"รายรับ"),0,E801)</f>
        <v>0</v>
      </c>
      <c r="I801" s="21" t="n">
        <f aca="false">IF(OR(E801="",D801&lt;&gt;"รายจ่าย"),0,E801)</f>
        <v>0</v>
      </c>
      <c r="J801" s="21" t="str">
        <f aca="false">IF(E801="","",ตั้งค่า!$B$4+SUM($H$5:H801)-SUM($I$5:I801))</f>
        <v/>
      </c>
      <c r="K801" s="22" t="str">
        <f aca="false">IF(A801="","",MONTH(A801))</f>
        <v/>
      </c>
      <c r="L801" s="22" t="str">
        <f aca="false">IF(A801="","",YEAR(A801))</f>
        <v/>
      </c>
    </row>
    <row r="802" customFormat="false" ht="15" hidden="false" customHeight="false" outlineLevel="0" collapsed="false">
      <c r="A802" s="23"/>
      <c r="B802" s="24"/>
      <c r="C802" s="24"/>
      <c r="D802" s="20" t="str">
        <f aca="false">IF(C802="","",IF(COUNTIF(ตั้งค่า!$A$7:$A$18,C802)&gt;0,"รายรับ",IF(COUNTIF(ตั้งค่า!$C$7:$C$31,C802)&gt;0,"รายจ่าย","ไม่พบหมวดหมู่")))</f>
        <v/>
      </c>
      <c r="E802" s="25"/>
      <c r="F802" s="24"/>
      <c r="G802" s="24"/>
      <c r="H802" s="21" t="n">
        <f aca="false">IF(OR(E802="",D802&lt;&gt;"รายรับ"),0,E802)</f>
        <v>0</v>
      </c>
      <c r="I802" s="21" t="n">
        <f aca="false">IF(OR(E802="",D802&lt;&gt;"รายจ่าย"),0,E802)</f>
        <v>0</v>
      </c>
      <c r="J802" s="21" t="str">
        <f aca="false">IF(E802="","",ตั้งค่า!$B$4+SUM($H$5:H802)-SUM($I$5:I802))</f>
        <v/>
      </c>
      <c r="K802" s="22" t="str">
        <f aca="false">IF(A802="","",MONTH(A802))</f>
        <v/>
      </c>
      <c r="L802" s="22" t="str">
        <f aca="false">IF(A802="","",YEAR(A802))</f>
        <v/>
      </c>
    </row>
    <row r="803" customFormat="false" ht="15" hidden="false" customHeight="false" outlineLevel="0" collapsed="false">
      <c r="A803" s="23"/>
      <c r="B803" s="24"/>
      <c r="C803" s="24"/>
      <c r="D803" s="20" t="str">
        <f aca="false">IF(C803="","",IF(COUNTIF(ตั้งค่า!$A$7:$A$18,C803)&gt;0,"รายรับ",IF(COUNTIF(ตั้งค่า!$C$7:$C$31,C803)&gt;0,"รายจ่าย","ไม่พบหมวดหมู่")))</f>
        <v/>
      </c>
      <c r="E803" s="25"/>
      <c r="F803" s="24"/>
      <c r="G803" s="24"/>
      <c r="H803" s="21" t="n">
        <f aca="false">IF(OR(E803="",D803&lt;&gt;"รายรับ"),0,E803)</f>
        <v>0</v>
      </c>
      <c r="I803" s="21" t="n">
        <f aca="false">IF(OR(E803="",D803&lt;&gt;"รายจ่าย"),0,E803)</f>
        <v>0</v>
      </c>
      <c r="J803" s="21" t="str">
        <f aca="false">IF(E803="","",ตั้งค่า!$B$4+SUM($H$5:H803)-SUM($I$5:I803))</f>
        <v/>
      </c>
      <c r="K803" s="22" t="str">
        <f aca="false">IF(A803="","",MONTH(A803))</f>
        <v/>
      </c>
      <c r="L803" s="22" t="str">
        <f aca="false">IF(A803="","",YEAR(A803))</f>
        <v/>
      </c>
    </row>
    <row r="804" customFormat="false" ht="15" hidden="false" customHeight="false" outlineLevel="0" collapsed="false">
      <c r="A804" s="23"/>
      <c r="B804" s="24"/>
      <c r="C804" s="24"/>
      <c r="D804" s="20" t="str">
        <f aca="false">IF(C804="","",IF(COUNTIF(ตั้งค่า!$A$7:$A$18,C804)&gt;0,"รายรับ",IF(COUNTIF(ตั้งค่า!$C$7:$C$31,C804)&gt;0,"รายจ่าย","ไม่พบหมวดหมู่")))</f>
        <v/>
      </c>
      <c r="E804" s="25"/>
      <c r="F804" s="24"/>
      <c r="G804" s="24"/>
      <c r="H804" s="21" t="n">
        <f aca="false">IF(OR(E804="",D804&lt;&gt;"รายรับ"),0,E804)</f>
        <v>0</v>
      </c>
      <c r="I804" s="21" t="n">
        <f aca="false">IF(OR(E804="",D804&lt;&gt;"รายจ่าย"),0,E804)</f>
        <v>0</v>
      </c>
      <c r="J804" s="21" t="str">
        <f aca="false">IF(E804="","",ตั้งค่า!$B$4+SUM($H$5:H804)-SUM($I$5:I804))</f>
        <v/>
      </c>
      <c r="K804" s="22" t="str">
        <f aca="false">IF(A804="","",MONTH(A804))</f>
        <v/>
      </c>
      <c r="L804" s="22" t="str">
        <f aca="false">IF(A804="","",YEAR(A804))</f>
        <v/>
      </c>
    </row>
    <row r="805" customFormat="false" ht="15" hidden="false" customHeight="false" outlineLevel="0" collapsed="false">
      <c r="A805" s="23"/>
      <c r="B805" s="24"/>
      <c r="C805" s="24"/>
      <c r="D805" s="20" t="str">
        <f aca="false">IF(C805="","",IF(COUNTIF(ตั้งค่า!$A$7:$A$18,C805)&gt;0,"รายรับ",IF(COUNTIF(ตั้งค่า!$C$7:$C$31,C805)&gt;0,"รายจ่าย","ไม่พบหมวดหมู่")))</f>
        <v/>
      </c>
      <c r="E805" s="25"/>
      <c r="F805" s="24"/>
      <c r="G805" s="24"/>
      <c r="H805" s="21" t="n">
        <f aca="false">IF(OR(E805="",D805&lt;&gt;"รายรับ"),0,E805)</f>
        <v>0</v>
      </c>
      <c r="I805" s="21" t="n">
        <f aca="false">IF(OR(E805="",D805&lt;&gt;"รายจ่าย"),0,E805)</f>
        <v>0</v>
      </c>
      <c r="J805" s="21" t="str">
        <f aca="false">IF(E805="","",ตั้งค่า!$B$4+SUM($H$5:H805)-SUM($I$5:I805))</f>
        <v/>
      </c>
      <c r="K805" s="22" t="str">
        <f aca="false">IF(A805="","",MONTH(A805))</f>
        <v/>
      </c>
      <c r="L805" s="22" t="str">
        <f aca="false">IF(A805="","",YEAR(A805))</f>
        <v/>
      </c>
    </row>
    <row r="806" customFormat="false" ht="15" hidden="false" customHeight="false" outlineLevel="0" collapsed="false">
      <c r="A806" s="23"/>
      <c r="B806" s="24"/>
      <c r="C806" s="24"/>
      <c r="D806" s="20" t="str">
        <f aca="false">IF(C806="","",IF(COUNTIF(ตั้งค่า!$A$7:$A$18,C806)&gt;0,"รายรับ",IF(COUNTIF(ตั้งค่า!$C$7:$C$31,C806)&gt;0,"รายจ่าย","ไม่พบหมวดหมู่")))</f>
        <v/>
      </c>
      <c r="E806" s="25"/>
      <c r="F806" s="24"/>
      <c r="G806" s="24"/>
      <c r="H806" s="21" t="n">
        <f aca="false">IF(OR(E806="",D806&lt;&gt;"รายรับ"),0,E806)</f>
        <v>0</v>
      </c>
      <c r="I806" s="21" t="n">
        <f aca="false">IF(OR(E806="",D806&lt;&gt;"รายจ่าย"),0,E806)</f>
        <v>0</v>
      </c>
      <c r="J806" s="21" t="str">
        <f aca="false">IF(E806="","",ตั้งค่า!$B$4+SUM($H$5:H806)-SUM($I$5:I806))</f>
        <v/>
      </c>
      <c r="K806" s="22" t="str">
        <f aca="false">IF(A806="","",MONTH(A806))</f>
        <v/>
      </c>
      <c r="L806" s="22" t="str">
        <f aca="false">IF(A806="","",YEAR(A806))</f>
        <v/>
      </c>
    </row>
    <row r="807" customFormat="false" ht="15" hidden="false" customHeight="false" outlineLevel="0" collapsed="false">
      <c r="A807" s="23"/>
      <c r="B807" s="24"/>
      <c r="C807" s="24"/>
      <c r="D807" s="20" t="str">
        <f aca="false">IF(C807="","",IF(COUNTIF(ตั้งค่า!$A$7:$A$18,C807)&gt;0,"รายรับ",IF(COUNTIF(ตั้งค่า!$C$7:$C$31,C807)&gt;0,"รายจ่าย","ไม่พบหมวดหมู่")))</f>
        <v/>
      </c>
      <c r="E807" s="25"/>
      <c r="F807" s="24"/>
      <c r="G807" s="24"/>
      <c r="H807" s="21" t="n">
        <f aca="false">IF(OR(E807="",D807&lt;&gt;"รายรับ"),0,E807)</f>
        <v>0</v>
      </c>
      <c r="I807" s="21" t="n">
        <f aca="false">IF(OR(E807="",D807&lt;&gt;"รายจ่าย"),0,E807)</f>
        <v>0</v>
      </c>
      <c r="J807" s="21" t="str">
        <f aca="false">IF(E807="","",ตั้งค่า!$B$4+SUM($H$5:H807)-SUM($I$5:I807))</f>
        <v/>
      </c>
      <c r="K807" s="22" t="str">
        <f aca="false">IF(A807="","",MONTH(A807))</f>
        <v/>
      </c>
      <c r="L807" s="22" t="str">
        <f aca="false">IF(A807="","",YEAR(A807))</f>
        <v/>
      </c>
    </row>
    <row r="808" customFormat="false" ht="15" hidden="false" customHeight="false" outlineLevel="0" collapsed="false">
      <c r="A808" s="23"/>
      <c r="B808" s="24"/>
      <c r="C808" s="24"/>
      <c r="D808" s="20" t="str">
        <f aca="false">IF(C808="","",IF(COUNTIF(ตั้งค่า!$A$7:$A$18,C808)&gt;0,"รายรับ",IF(COUNTIF(ตั้งค่า!$C$7:$C$31,C808)&gt;0,"รายจ่าย","ไม่พบหมวดหมู่")))</f>
        <v/>
      </c>
      <c r="E808" s="25"/>
      <c r="F808" s="24"/>
      <c r="G808" s="24"/>
      <c r="H808" s="21" t="n">
        <f aca="false">IF(OR(E808="",D808&lt;&gt;"รายรับ"),0,E808)</f>
        <v>0</v>
      </c>
      <c r="I808" s="21" t="n">
        <f aca="false">IF(OR(E808="",D808&lt;&gt;"รายจ่าย"),0,E808)</f>
        <v>0</v>
      </c>
      <c r="J808" s="21" t="str">
        <f aca="false">IF(E808="","",ตั้งค่า!$B$4+SUM($H$5:H808)-SUM($I$5:I808))</f>
        <v/>
      </c>
      <c r="K808" s="22" t="str">
        <f aca="false">IF(A808="","",MONTH(A808))</f>
        <v/>
      </c>
      <c r="L808" s="22" t="str">
        <f aca="false">IF(A808="","",YEAR(A808))</f>
        <v/>
      </c>
    </row>
    <row r="809" customFormat="false" ht="15" hidden="false" customHeight="false" outlineLevel="0" collapsed="false">
      <c r="A809" s="23"/>
      <c r="B809" s="24"/>
      <c r="C809" s="24"/>
      <c r="D809" s="20" t="str">
        <f aca="false">IF(C809="","",IF(COUNTIF(ตั้งค่า!$A$7:$A$18,C809)&gt;0,"รายรับ",IF(COUNTIF(ตั้งค่า!$C$7:$C$31,C809)&gt;0,"รายจ่าย","ไม่พบหมวดหมู่")))</f>
        <v/>
      </c>
      <c r="E809" s="25"/>
      <c r="F809" s="24"/>
      <c r="G809" s="24"/>
      <c r="H809" s="21" t="n">
        <f aca="false">IF(OR(E809="",D809&lt;&gt;"รายรับ"),0,E809)</f>
        <v>0</v>
      </c>
      <c r="I809" s="21" t="n">
        <f aca="false">IF(OR(E809="",D809&lt;&gt;"รายจ่าย"),0,E809)</f>
        <v>0</v>
      </c>
      <c r="J809" s="21" t="str">
        <f aca="false">IF(E809="","",ตั้งค่า!$B$4+SUM($H$5:H809)-SUM($I$5:I809))</f>
        <v/>
      </c>
      <c r="K809" s="22" t="str">
        <f aca="false">IF(A809="","",MONTH(A809))</f>
        <v/>
      </c>
      <c r="L809" s="22" t="str">
        <f aca="false">IF(A809="","",YEAR(A809))</f>
        <v/>
      </c>
    </row>
    <row r="810" customFormat="false" ht="15" hidden="false" customHeight="false" outlineLevel="0" collapsed="false">
      <c r="A810" s="23"/>
      <c r="B810" s="24"/>
      <c r="C810" s="24"/>
      <c r="D810" s="20" t="str">
        <f aca="false">IF(C810="","",IF(COUNTIF(ตั้งค่า!$A$7:$A$18,C810)&gt;0,"รายรับ",IF(COUNTIF(ตั้งค่า!$C$7:$C$31,C810)&gt;0,"รายจ่าย","ไม่พบหมวดหมู่")))</f>
        <v/>
      </c>
      <c r="E810" s="25"/>
      <c r="F810" s="24"/>
      <c r="G810" s="24"/>
      <c r="H810" s="21" t="n">
        <f aca="false">IF(OR(E810="",D810&lt;&gt;"รายรับ"),0,E810)</f>
        <v>0</v>
      </c>
      <c r="I810" s="21" t="n">
        <f aca="false">IF(OR(E810="",D810&lt;&gt;"รายจ่าย"),0,E810)</f>
        <v>0</v>
      </c>
      <c r="J810" s="21" t="str">
        <f aca="false">IF(E810="","",ตั้งค่า!$B$4+SUM($H$5:H810)-SUM($I$5:I810))</f>
        <v/>
      </c>
      <c r="K810" s="22" t="str">
        <f aca="false">IF(A810="","",MONTH(A810))</f>
        <v/>
      </c>
      <c r="L810" s="22" t="str">
        <f aca="false">IF(A810="","",YEAR(A810))</f>
        <v/>
      </c>
    </row>
    <row r="811" customFormat="false" ht="15" hidden="false" customHeight="false" outlineLevel="0" collapsed="false">
      <c r="A811" s="23"/>
      <c r="B811" s="24"/>
      <c r="C811" s="24"/>
      <c r="D811" s="20" t="str">
        <f aca="false">IF(C811="","",IF(COUNTIF(ตั้งค่า!$A$7:$A$18,C811)&gt;0,"รายรับ",IF(COUNTIF(ตั้งค่า!$C$7:$C$31,C811)&gt;0,"รายจ่าย","ไม่พบหมวดหมู่")))</f>
        <v/>
      </c>
      <c r="E811" s="25"/>
      <c r="F811" s="24"/>
      <c r="G811" s="24"/>
      <c r="H811" s="21" t="n">
        <f aca="false">IF(OR(E811="",D811&lt;&gt;"รายรับ"),0,E811)</f>
        <v>0</v>
      </c>
      <c r="I811" s="21" t="n">
        <f aca="false">IF(OR(E811="",D811&lt;&gt;"รายจ่าย"),0,E811)</f>
        <v>0</v>
      </c>
      <c r="J811" s="21" t="str">
        <f aca="false">IF(E811="","",ตั้งค่า!$B$4+SUM($H$5:H811)-SUM($I$5:I811))</f>
        <v/>
      </c>
      <c r="K811" s="22" t="str">
        <f aca="false">IF(A811="","",MONTH(A811))</f>
        <v/>
      </c>
      <c r="L811" s="22" t="str">
        <f aca="false">IF(A811="","",YEAR(A811))</f>
        <v/>
      </c>
    </row>
    <row r="812" customFormat="false" ht="15" hidden="false" customHeight="false" outlineLevel="0" collapsed="false">
      <c r="A812" s="23"/>
      <c r="B812" s="24"/>
      <c r="C812" s="24"/>
      <c r="D812" s="20" t="str">
        <f aca="false">IF(C812="","",IF(COUNTIF(ตั้งค่า!$A$7:$A$18,C812)&gt;0,"รายรับ",IF(COUNTIF(ตั้งค่า!$C$7:$C$31,C812)&gt;0,"รายจ่าย","ไม่พบหมวดหมู่")))</f>
        <v/>
      </c>
      <c r="E812" s="25"/>
      <c r="F812" s="24"/>
      <c r="G812" s="24"/>
      <c r="H812" s="21" t="n">
        <f aca="false">IF(OR(E812="",D812&lt;&gt;"รายรับ"),0,E812)</f>
        <v>0</v>
      </c>
      <c r="I812" s="21" t="n">
        <f aca="false">IF(OR(E812="",D812&lt;&gt;"รายจ่าย"),0,E812)</f>
        <v>0</v>
      </c>
      <c r="J812" s="21" t="str">
        <f aca="false">IF(E812="","",ตั้งค่า!$B$4+SUM($H$5:H812)-SUM($I$5:I812))</f>
        <v/>
      </c>
      <c r="K812" s="22" t="str">
        <f aca="false">IF(A812="","",MONTH(A812))</f>
        <v/>
      </c>
      <c r="L812" s="22" t="str">
        <f aca="false">IF(A812="","",YEAR(A812))</f>
        <v/>
      </c>
    </row>
    <row r="813" customFormat="false" ht="15" hidden="false" customHeight="false" outlineLevel="0" collapsed="false">
      <c r="A813" s="23"/>
      <c r="B813" s="24"/>
      <c r="C813" s="24"/>
      <c r="D813" s="20" t="str">
        <f aca="false">IF(C813="","",IF(COUNTIF(ตั้งค่า!$A$7:$A$18,C813)&gt;0,"รายรับ",IF(COUNTIF(ตั้งค่า!$C$7:$C$31,C813)&gt;0,"รายจ่าย","ไม่พบหมวดหมู่")))</f>
        <v/>
      </c>
      <c r="E813" s="25"/>
      <c r="F813" s="24"/>
      <c r="G813" s="24"/>
      <c r="H813" s="21" t="n">
        <f aca="false">IF(OR(E813="",D813&lt;&gt;"รายรับ"),0,E813)</f>
        <v>0</v>
      </c>
      <c r="I813" s="21" t="n">
        <f aca="false">IF(OR(E813="",D813&lt;&gt;"รายจ่าย"),0,E813)</f>
        <v>0</v>
      </c>
      <c r="J813" s="21" t="str">
        <f aca="false">IF(E813="","",ตั้งค่า!$B$4+SUM($H$5:H813)-SUM($I$5:I813))</f>
        <v/>
      </c>
      <c r="K813" s="22" t="str">
        <f aca="false">IF(A813="","",MONTH(A813))</f>
        <v/>
      </c>
      <c r="L813" s="22" t="str">
        <f aca="false">IF(A813="","",YEAR(A813))</f>
        <v/>
      </c>
    </row>
    <row r="814" customFormat="false" ht="15" hidden="false" customHeight="false" outlineLevel="0" collapsed="false">
      <c r="A814" s="23"/>
      <c r="B814" s="24"/>
      <c r="C814" s="24"/>
      <c r="D814" s="20" t="str">
        <f aca="false">IF(C814="","",IF(COUNTIF(ตั้งค่า!$A$7:$A$18,C814)&gt;0,"รายรับ",IF(COUNTIF(ตั้งค่า!$C$7:$C$31,C814)&gt;0,"รายจ่าย","ไม่พบหมวดหมู่")))</f>
        <v/>
      </c>
      <c r="E814" s="25"/>
      <c r="F814" s="24"/>
      <c r="G814" s="24"/>
      <c r="H814" s="21" t="n">
        <f aca="false">IF(OR(E814="",D814&lt;&gt;"รายรับ"),0,E814)</f>
        <v>0</v>
      </c>
      <c r="I814" s="21" t="n">
        <f aca="false">IF(OR(E814="",D814&lt;&gt;"รายจ่าย"),0,E814)</f>
        <v>0</v>
      </c>
      <c r="J814" s="21" t="str">
        <f aca="false">IF(E814="","",ตั้งค่า!$B$4+SUM($H$5:H814)-SUM($I$5:I814))</f>
        <v/>
      </c>
      <c r="K814" s="22" t="str">
        <f aca="false">IF(A814="","",MONTH(A814))</f>
        <v/>
      </c>
      <c r="L814" s="22" t="str">
        <f aca="false">IF(A814="","",YEAR(A814))</f>
        <v/>
      </c>
    </row>
    <row r="815" customFormat="false" ht="15" hidden="false" customHeight="false" outlineLevel="0" collapsed="false">
      <c r="A815" s="23"/>
      <c r="B815" s="24"/>
      <c r="C815" s="24"/>
      <c r="D815" s="20" t="str">
        <f aca="false">IF(C815="","",IF(COUNTIF(ตั้งค่า!$A$7:$A$18,C815)&gt;0,"รายรับ",IF(COUNTIF(ตั้งค่า!$C$7:$C$31,C815)&gt;0,"รายจ่าย","ไม่พบหมวดหมู่")))</f>
        <v/>
      </c>
      <c r="E815" s="25"/>
      <c r="F815" s="24"/>
      <c r="G815" s="24"/>
      <c r="H815" s="21" t="n">
        <f aca="false">IF(OR(E815="",D815&lt;&gt;"รายรับ"),0,E815)</f>
        <v>0</v>
      </c>
      <c r="I815" s="21" t="n">
        <f aca="false">IF(OR(E815="",D815&lt;&gt;"รายจ่าย"),0,E815)</f>
        <v>0</v>
      </c>
      <c r="J815" s="21" t="str">
        <f aca="false">IF(E815="","",ตั้งค่า!$B$4+SUM($H$5:H815)-SUM($I$5:I815))</f>
        <v/>
      </c>
      <c r="K815" s="22" t="str">
        <f aca="false">IF(A815="","",MONTH(A815))</f>
        <v/>
      </c>
      <c r="L815" s="22" t="str">
        <f aca="false">IF(A815="","",YEAR(A815))</f>
        <v/>
      </c>
    </row>
    <row r="816" customFormat="false" ht="15" hidden="false" customHeight="false" outlineLevel="0" collapsed="false">
      <c r="A816" s="23"/>
      <c r="B816" s="24"/>
      <c r="C816" s="24"/>
      <c r="D816" s="20" t="str">
        <f aca="false">IF(C816="","",IF(COUNTIF(ตั้งค่า!$A$7:$A$18,C816)&gt;0,"รายรับ",IF(COUNTIF(ตั้งค่า!$C$7:$C$31,C816)&gt;0,"รายจ่าย","ไม่พบหมวดหมู่")))</f>
        <v/>
      </c>
      <c r="E816" s="25"/>
      <c r="F816" s="24"/>
      <c r="G816" s="24"/>
      <c r="H816" s="21" t="n">
        <f aca="false">IF(OR(E816="",D816&lt;&gt;"รายรับ"),0,E816)</f>
        <v>0</v>
      </c>
      <c r="I816" s="21" t="n">
        <f aca="false">IF(OR(E816="",D816&lt;&gt;"รายจ่าย"),0,E816)</f>
        <v>0</v>
      </c>
      <c r="J816" s="21" t="str">
        <f aca="false">IF(E816="","",ตั้งค่า!$B$4+SUM($H$5:H816)-SUM($I$5:I816))</f>
        <v/>
      </c>
      <c r="K816" s="22" t="str">
        <f aca="false">IF(A816="","",MONTH(A816))</f>
        <v/>
      </c>
      <c r="L816" s="22" t="str">
        <f aca="false">IF(A816="","",YEAR(A816))</f>
        <v/>
      </c>
    </row>
    <row r="817" customFormat="false" ht="15" hidden="false" customHeight="false" outlineLevel="0" collapsed="false">
      <c r="A817" s="23"/>
      <c r="B817" s="24"/>
      <c r="C817" s="24"/>
      <c r="D817" s="20" t="str">
        <f aca="false">IF(C817="","",IF(COUNTIF(ตั้งค่า!$A$7:$A$18,C817)&gt;0,"รายรับ",IF(COUNTIF(ตั้งค่า!$C$7:$C$31,C817)&gt;0,"รายจ่าย","ไม่พบหมวดหมู่")))</f>
        <v/>
      </c>
      <c r="E817" s="25"/>
      <c r="F817" s="24"/>
      <c r="G817" s="24"/>
      <c r="H817" s="21" t="n">
        <f aca="false">IF(OR(E817="",D817&lt;&gt;"รายรับ"),0,E817)</f>
        <v>0</v>
      </c>
      <c r="I817" s="21" t="n">
        <f aca="false">IF(OR(E817="",D817&lt;&gt;"รายจ่าย"),0,E817)</f>
        <v>0</v>
      </c>
      <c r="J817" s="21" t="str">
        <f aca="false">IF(E817="","",ตั้งค่า!$B$4+SUM($H$5:H817)-SUM($I$5:I817))</f>
        <v/>
      </c>
      <c r="K817" s="22" t="str">
        <f aca="false">IF(A817="","",MONTH(A817))</f>
        <v/>
      </c>
      <c r="L817" s="22" t="str">
        <f aca="false">IF(A817="","",YEAR(A817))</f>
        <v/>
      </c>
    </row>
    <row r="818" customFormat="false" ht="15" hidden="false" customHeight="false" outlineLevel="0" collapsed="false">
      <c r="A818" s="23"/>
      <c r="B818" s="24"/>
      <c r="C818" s="24"/>
      <c r="D818" s="20" t="str">
        <f aca="false">IF(C818="","",IF(COUNTIF(ตั้งค่า!$A$7:$A$18,C818)&gt;0,"รายรับ",IF(COUNTIF(ตั้งค่า!$C$7:$C$31,C818)&gt;0,"รายจ่าย","ไม่พบหมวดหมู่")))</f>
        <v/>
      </c>
      <c r="E818" s="25"/>
      <c r="F818" s="24"/>
      <c r="G818" s="24"/>
      <c r="H818" s="21" t="n">
        <f aca="false">IF(OR(E818="",D818&lt;&gt;"รายรับ"),0,E818)</f>
        <v>0</v>
      </c>
      <c r="I818" s="21" t="n">
        <f aca="false">IF(OR(E818="",D818&lt;&gt;"รายจ่าย"),0,E818)</f>
        <v>0</v>
      </c>
      <c r="J818" s="21" t="str">
        <f aca="false">IF(E818="","",ตั้งค่า!$B$4+SUM($H$5:H818)-SUM($I$5:I818))</f>
        <v/>
      </c>
      <c r="K818" s="22" t="str">
        <f aca="false">IF(A818="","",MONTH(A818))</f>
        <v/>
      </c>
      <c r="L818" s="22" t="str">
        <f aca="false">IF(A818="","",YEAR(A818))</f>
        <v/>
      </c>
    </row>
    <row r="819" customFormat="false" ht="15" hidden="false" customHeight="false" outlineLevel="0" collapsed="false">
      <c r="A819" s="23"/>
      <c r="B819" s="24"/>
      <c r="C819" s="24"/>
      <c r="D819" s="20" t="str">
        <f aca="false">IF(C819="","",IF(COUNTIF(ตั้งค่า!$A$7:$A$18,C819)&gt;0,"รายรับ",IF(COUNTIF(ตั้งค่า!$C$7:$C$31,C819)&gt;0,"รายจ่าย","ไม่พบหมวดหมู่")))</f>
        <v/>
      </c>
      <c r="E819" s="25"/>
      <c r="F819" s="24"/>
      <c r="G819" s="24"/>
      <c r="H819" s="21" t="n">
        <f aca="false">IF(OR(E819="",D819&lt;&gt;"รายรับ"),0,E819)</f>
        <v>0</v>
      </c>
      <c r="I819" s="21" t="n">
        <f aca="false">IF(OR(E819="",D819&lt;&gt;"รายจ่าย"),0,E819)</f>
        <v>0</v>
      </c>
      <c r="J819" s="21" t="str">
        <f aca="false">IF(E819="","",ตั้งค่า!$B$4+SUM($H$5:H819)-SUM($I$5:I819))</f>
        <v/>
      </c>
      <c r="K819" s="22" t="str">
        <f aca="false">IF(A819="","",MONTH(A819))</f>
        <v/>
      </c>
      <c r="L819" s="22" t="str">
        <f aca="false">IF(A819="","",YEAR(A819))</f>
        <v/>
      </c>
    </row>
    <row r="820" customFormat="false" ht="15" hidden="false" customHeight="false" outlineLevel="0" collapsed="false">
      <c r="A820" s="23"/>
      <c r="B820" s="24"/>
      <c r="C820" s="24"/>
      <c r="D820" s="20" t="str">
        <f aca="false">IF(C820="","",IF(COUNTIF(ตั้งค่า!$A$7:$A$18,C820)&gt;0,"รายรับ",IF(COUNTIF(ตั้งค่า!$C$7:$C$31,C820)&gt;0,"รายจ่าย","ไม่พบหมวดหมู่")))</f>
        <v/>
      </c>
      <c r="E820" s="25"/>
      <c r="F820" s="24"/>
      <c r="G820" s="24"/>
      <c r="H820" s="21" t="n">
        <f aca="false">IF(OR(E820="",D820&lt;&gt;"รายรับ"),0,E820)</f>
        <v>0</v>
      </c>
      <c r="I820" s="21" t="n">
        <f aca="false">IF(OR(E820="",D820&lt;&gt;"รายจ่าย"),0,E820)</f>
        <v>0</v>
      </c>
      <c r="J820" s="21" t="str">
        <f aca="false">IF(E820="","",ตั้งค่า!$B$4+SUM($H$5:H820)-SUM($I$5:I820))</f>
        <v/>
      </c>
      <c r="K820" s="22" t="str">
        <f aca="false">IF(A820="","",MONTH(A820))</f>
        <v/>
      </c>
      <c r="L820" s="22" t="str">
        <f aca="false">IF(A820="","",YEAR(A820))</f>
        <v/>
      </c>
    </row>
    <row r="821" customFormat="false" ht="15" hidden="false" customHeight="false" outlineLevel="0" collapsed="false">
      <c r="A821" s="23"/>
      <c r="B821" s="24"/>
      <c r="C821" s="24"/>
      <c r="D821" s="20" t="str">
        <f aca="false">IF(C821="","",IF(COUNTIF(ตั้งค่า!$A$7:$A$18,C821)&gt;0,"รายรับ",IF(COUNTIF(ตั้งค่า!$C$7:$C$31,C821)&gt;0,"รายจ่าย","ไม่พบหมวดหมู่")))</f>
        <v/>
      </c>
      <c r="E821" s="25"/>
      <c r="F821" s="24"/>
      <c r="G821" s="24"/>
      <c r="H821" s="21" t="n">
        <f aca="false">IF(OR(E821="",D821&lt;&gt;"รายรับ"),0,E821)</f>
        <v>0</v>
      </c>
      <c r="I821" s="21" t="n">
        <f aca="false">IF(OR(E821="",D821&lt;&gt;"รายจ่าย"),0,E821)</f>
        <v>0</v>
      </c>
      <c r="J821" s="21" t="str">
        <f aca="false">IF(E821="","",ตั้งค่า!$B$4+SUM($H$5:H821)-SUM($I$5:I821))</f>
        <v/>
      </c>
      <c r="K821" s="22" t="str">
        <f aca="false">IF(A821="","",MONTH(A821))</f>
        <v/>
      </c>
      <c r="L821" s="22" t="str">
        <f aca="false">IF(A821="","",YEAR(A821))</f>
        <v/>
      </c>
    </row>
    <row r="822" customFormat="false" ht="15" hidden="false" customHeight="false" outlineLevel="0" collapsed="false">
      <c r="A822" s="23"/>
      <c r="B822" s="24"/>
      <c r="C822" s="24"/>
      <c r="D822" s="20" t="str">
        <f aca="false">IF(C822="","",IF(COUNTIF(ตั้งค่า!$A$7:$A$18,C822)&gt;0,"รายรับ",IF(COUNTIF(ตั้งค่า!$C$7:$C$31,C822)&gt;0,"รายจ่าย","ไม่พบหมวดหมู่")))</f>
        <v/>
      </c>
      <c r="E822" s="25"/>
      <c r="F822" s="24"/>
      <c r="G822" s="24"/>
      <c r="H822" s="21" t="n">
        <f aca="false">IF(OR(E822="",D822&lt;&gt;"รายรับ"),0,E822)</f>
        <v>0</v>
      </c>
      <c r="I822" s="21" t="n">
        <f aca="false">IF(OR(E822="",D822&lt;&gt;"รายจ่าย"),0,E822)</f>
        <v>0</v>
      </c>
      <c r="J822" s="21" t="str">
        <f aca="false">IF(E822="","",ตั้งค่า!$B$4+SUM($H$5:H822)-SUM($I$5:I822))</f>
        <v/>
      </c>
      <c r="K822" s="22" t="str">
        <f aca="false">IF(A822="","",MONTH(A822))</f>
        <v/>
      </c>
      <c r="L822" s="22" t="str">
        <f aca="false">IF(A822="","",YEAR(A822))</f>
        <v/>
      </c>
    </row>
    <row r="823" customFormat="false" ht="15" hidden="false" customHeight="false" outlineLevel="0" collapsed="false">
      <c r="A823" s="23"/>
      <c r="B823" s="24"/>
      <c r="C823" s="24"/>
      <c r="D823" s="20" t="str">
        <f aca="false">IF(C823="","",IF(COUNTIF(ตั้งค่า!$A$7:$A$18,C823)&gt;0,"รายรับ",IF(COUNTIF(ตั้งค่า!$C$7:$C$31,C823)&gt;0,"รายจ่าย","ไม่พบหมวดหมู่")))</f>
        <v/>
      </c>
      <c r="E823" s="25"/>
      <c r="F823" s="24"/>
      <c r="G823" s="24"/>
      <c r="H823" s="21" t="n">
        <f aca="false">IF(OR(E823="",D823&lt;&gt;"รายรับ"),0,E823)</f>
        <v>0</v>
      </c>
      <c r="I823" s="21" t="n">
        <f aca="false">IF(OR(E823="",D823&lt;&gt;"รายจ่าย"),0,E823)</f>
        <v>0</v>
      </c>
      <c r="J823" s="21" t="str">
        <f aca="false">IF(E823="","",ตั้งค่า!$B$4+SUM($H$5:H823)-SUM($I$5:I823))</f>
        <v/>
      </c>
      <c r="K823" s="22" t="str">
        <f aca="false">IF(A823="","",MONTH(A823))</f>
        <v/>
      </c>
      <c r="L823" s="22" t="str">
        <f aca="false">IF(A823="","",YEAR(A823))</f>
        <v/>
      </c>
    </row>
    <row r="824" customFormat="false" ht="15" hidden="false" customHeight="false" outlineLevel="0" collapsed="false">
      <c r="A824" s="23"/>
      <c r="B824" s="24"/>
      <c r="C824" s="24"/>
      <c r="D824" s="20" t="str">
        <f aca="false">IF(C824="","",IF(COUNTIF(ตั้งค่า!$A$7:$A$18,C824)&gt;0,"รายรับ",IF(COUNTIF(ตั้งค่า!$C$7:$C$31,C824)&gt;0,"รายจ่าย","ไม่พบหมวดหมู่")))</f>
        <v/>
      </c>
      <c r="E824" s="25"/>
      <c r="F824" s="24"/>
      <c r="G824" s="24"/>
      <c r="H824" s="21" t="n">
        <f aca="false">IF(OR(E824="",D824&lt;&gt;"รายรับ"),0,E824)</f>
        <v>0</v>
      </c>
      <c r="I824" s="21" t="n">
        <f aca="false">IF(OR(E824="",D824&lt;&gt;"รายจ่าย"),0,E824)</f>
        <v>0</v>
      </c>
      <c r="J824" s="21" t="str">
        <f aca="false">IF(E824="","",ตั้งค่า!$B$4+SUM($H$5:H824)-SUM($I$5:I824))</f>
        <v/>
      </c>
      <c r="K824" s="22" t="str">
        <f aca="false">IF(A824="","",MONTH(A824))</f>
        <v/>
      </c>
      <c r="L824" s="22" t="str">
        <f aca="false">IF(A824="","",YEAR(A824))</f>
        <v/>
      </c>
    </row>
    <row r="825" customFormat="false" ht="15" hidden="false" customHeight="false" outlineLevel="0" collapsed="false">
      <c r="A825" s="23"/>
      <c r="B825" s="24"/>
      <c r="C825" s="24"/>
      <c r="D825" s="20" t="str">
        <f aca="false">IF(C825="","",IF(COUNTIF(ตั้งค่า!$A$7:$A$18,C825)&gt;0,"รายรับ",IF(COUNTIF(ตั้งค่า!$C$7:$C$31,C825)&gt;0,"รายจ่าย","ไม่พบหมวดหมู่")))</f>
        <v/>
      </c>
      <c r="E825" s="25"/>
      <c r="F825" s="24"/>
      <c r="G825" s="24"/>
      <c r="H825" s="21" t="n">
        <f aca="false">IF(OR(E825="",D825&lt;&gt;"รายรับ"),0,E825)</f>
        <v>0</v>
      </c>
      <c r="I825" s="21" t="n">
        <f aca="false">IF(OR(E825="",D825&lt;&gt;"รายจ่าย"),0,E825)</f>
        <v>0</v>
      </c>
      <c r="J825" s="21" t="str">
        <f aca="false">IF(E825="","",ตั้งค่า!$B$4+SUM($H$5:H825)-SUM($I$5:I825))</f>
        <v/>
      </c>
      <c r="K825" s="22" t="str">
        <f aca="false">IF(A825="","",MONTH(A825))</f>
        <v/>
      </c>
      <c r="L825" s="22" t="str">
        <f aca="false">IF(A825="","",YEAR(A825))</f>
        <v/>
      </c>
    </row>
    <row r="826" customFormat="false" ht="15" hidden="false" customHeight="false" outlineLevel="0" collapsed="false">
      <c r="A826" s="23"/>
      <c r="B826" s="24"/>
      <c r="C826" s="24"/>
      <c r="D826" s="20" t="str">
        <f aca="false">IF(C826="","",IF(COUNTIF(ตั้งค่า!$A$7:$A$18,C826)&gt;0,"รายรับ",IF(COUNTIF(ตั้งค่า!$C$7:$C$31,C826)&gt;0,"รายจ่าย","ไม่พบหมวดหมู่")))</f>
        <v/>
      </c>
      <c r="E826" s="25"/>
      <c r="F826" s="24"/>
      <c r="G826" s="24"/>
      <c r="H826" s="21" t="n">
        <f aca="false">IF(OR(E826="",D826&lt;&gt;"รายรับ"),0,E826)</f>
        <v>0</v>
      </c>
      <c r="I826" s="21" t="n">
        <f aca="false">IF(OR(E826="",D826&lt;&gt;"รายจ่าย"),0,E826)</f>
        <v>0</v>
      </c>
      <c r="J826" s="21" t="str">
        <f aca="false">IF(E826="","",ตั้งค่า!$B$4+SUM($H$5:H826)-SUM($I$5:I826))</f>
        <v/>
      </c>
      <c r="K826" s="22" t="str">
        <f aca="false">IF(A826="","",MONTH(A826))</f>
        <v/>
      </c>
      <c r="L826" s="22" t="str">
        <f aca="false">IF(A826="","",YEAR(A826))</f>
        <v/>
      </c>
    </row>
    <row r="827" customFormat="false" ht="15" hidden="false" customHeight="false" outlineLevel="0" collapsed="false">
      <c r="A827" s="23"/>
      <c r="B827" s="24"/>
      <c r="C827" s="24"/>
      <c r="D827" s="20" t="str">
        <f aca="false">IF(C827="","",IF(COUNTIF(ตั้งค่า!$A$7:$A$18,C827)&gt;0,"รายรับ",IF(COUNTIF(ตั้งค่า!$C$7:$C$31,C827)&gt;0,"รายจ่าย","ไม่พบหมวดหมู่")))</f>
        <v/>
      </c>
      <c r="E827" s="25"/>
      <c r="F827" s="24"/>
      <c r="G827" s="24"/>
      <c r="H827" s="21" t="n">
        <f aca="false">IF(OR(E827="",D827&lt;&gt;"รายรับ"),0,E827)</f>
        <v>0</v>
      </c>
      <c r="I827" s="21" t="n">
        <f aca="false">IF(OR(E827="",D827&lt;&gt;"รายจ่าย"),0,E827)</f>
        <v>0</v>
      </c>
      <c r="J827" s="21" t="str">
        <f aca="false">IF(E827="","",ตั้งค่า!$B$4+SUM($H$5:H827)-SUM($I$5:I827))</f>
        <v/>
      </c>
      <c r="K827" s="22" t="str">
        <f aca="false">IF(A827="","",MONTH(A827))</f>
        <v/>
      </c>
      <c r="L827" s="22" t="str">
        <f aca="false">IF(A827="","",YEAR(A827))</f>
        <v/>
      </c>
    </row>
    <row r="828" customFormat="false" ht="15" hidden="false" customHeight="false" outlineLevel="0" collapsed="false">
      <c r="A828" s="23"/>
      <c r="B828" s="24"/>
      <c r="C828" s="24"/>
      <c r="D828" s="20" t="str">
        <f aca="false">IF(C828="","",IF(COUNTIF(ตั้งค่า!$A$7:$A$18,C828)&gt;0,"รายรับ",IF(COUNTIF(ตั้งค่า!$C$7:$C$31,C828)&gt;0,"รายจ่าย","ไม่พบหมวดหมู่")))</f>
        <v/>
      </c>
      <c r="E828" s="25"/>
      <c r="F828" s="24"/>
      <c r="G828" s="24"/>
      <c r="H828" s="21" t="n">
        <f aca="false">IF(OR(E828="",D828&lt;&gt;"รายรับ"),0,E828)</f>
        <v>0</v>
      </c>
      <c r="I828" s="21" t="n">
        <f aca="false">IF(OR(E828="",D828&lt;&gt;"รายจ่าย"),0,E828)</f>
        <v>0</v>
      </c>
      <c r="J828" s="21" t="str">
        <f aca="false">IF(E828="","",ตั้งค่า!$B$4+SUM($H$5:H828)-SUM($I$5:I828))</f>
        <v/>
      </c>
      <c r="K828" s="22" t="str">
        <f aca="false">IF(A828="","",MONTH(A828))</f>
        <v/>
      </c>
      <c r="L828" s="22" t="str">
        <f aca="false">IF(A828="","",YEAR(A828))</f>
        <v/>
      </c>
    </row>
    <row r="829" customFormat="false" ht="15" hidden="false" customHeight="false" outlineLevel="0" collapsed="false">
      <c r="A829" s="23"/>
      <c r="B829" s="24"/>
      <c r="C829" s="24"/>
      <c r="D829" s="20" t="str">
        <f aca="false">IF(C829="","",IF(COUNTIF(ตั้งค่า!$A$7:$A$18,C829)&gt;0,"รายรับ",IF(COUNTIF(ตั้งค่า!$C$7:$C$31,C829)&gt;0,"รายจ่าย","ไม่พบหมวดหมู่")))</f>
        <v/>
      </c>
      <c r="E829" s="25"/>
      <c r="F829" s="24"/>
      <c r="G829" s="24"/>
      <c r="H829" s="21" t="n">
        <f aca="false">IF(OR(E829="",D829&lt;&gt;"รายรับ"),0,E829)</f>
        <v>0</v>
      </c>
      <c r="I829" s="21" t="n">
        <f aca="false">IF(OR(E829="",D829&lt;&gt;"รายจ่าย"),0,E829)</f>
        <v>0</v>
      </c>
      <c r="J829" s="21" t="str">
        <f aca="false">IF(E829="","",ตั้งค่า!$B$4+SUM($H$5:H829)-SUM($I$5:I829))</f>
        <v/>
      </c>
      <c r="K829" s="22" t="str">
        <f aca="false">IF(A829="","",MONTH(A829))</f>
        <v/>
      </c>
      <c r="L829" s="22" t="str">
        <f aca="false">IF(A829="","",YEAR(A829))</f>
        <v/>
      </c>
    </row>
    <row r="830" customFormat="false" ht="15" hidden="false" customHeight="false" outlineLevel="0" collapsed="false">
      <c r="A830" s="23"/>
      <c r="B830" s="24"/>
      <c r="C830" s="24"/>
      <c r="D830" s="20" t="str">
        <f aca="false">IF(C830="","",IF(COUNTIF(ตั้งค่า!$A$7:$A$18,C830)&gt;0,"รายรับ",IF(COUNTIF(ตั้งค่า!$C$7:$C$31,C830)&gt;0,"รายจ่าย","ไม่พบหมวดหมู่")))</f>
        <v/>
      </c>
      <c r="E830" s="25"/>
      <c r="F830" s="24"/>
      <c r="G830" s="24"/>
      <c r="H830" s="21" t="n">
        <f aca="false">IF(OR(E830="",D830&lt;&gt;"รายรับ"),0,E830)</f>
        <v>0</v>
      </c>
      <c r="I830" s="21" t="n">
        <f aca="false">IF(OR(E830="",D830&lt;&gt;"รายจ่าย"),0,E830)</f>
        <v>0</v>
      </c>
      <c r="J830" s="21" t="str">
        <f aca="false">IF(E830="","",ตั้งค่า!$B$4+SUM($H$5:H830)-SUM($I$5:I830))</f>
        <v/>
      </c>
      <c r="K830" s="22" t="str">
        <f aca="false">IF(A830="","",MONTH(A830))</f>
        <v/>
      </c>
      <c r="L830" s="22" t="str">
        <f aca="false">IF(A830="","",YEAR(A830))</f>
        <v/>
      </c>
    </row>
    <row r="831" customFormat="false" ht="15" hidden="false" customHeight="false" outlineLevel="0" collapsed="false">
      <c r="A831" s="23"/>
      <c r="B831" s="24"/>
      <c r="C831" s="24"/>
      <c r="D831" s="20" t="str">
        <f aca="false">IF(C831="","",IF(COUNTIF(ตั้งค่า!$A$7:$A$18,C831)&gt;0,"รายรับ",IF(COUNTIF(ตั้งค่า!$C$7:$C$31,C831)&gt;0,"รายจ่าย","ไม่พบหมวดหมู่")))</f>
        <v/>
      </c>
      <c r="E831" s="25"/>
      <c r="F831" s="24"/>
      <c r="G831" s="24"/>
      <c r="H831" s="21" t="n">
        <f aca="false">IF(OR(E831="",D831&lt;&gt;"รายรับ"),0,E831)</f>
        <v>0</v>
      </c>
      <c r="I831" s="21" t="n">
        <f aca="false">IF(OR(E831="",D831&lt;&gt;"รายจ่าย"),0,E831)</f>
        <v>0</v>
      </c>
      <c r="J831" s="21" t="str">
        <f aca="false">IF(E831="","",ตั้งค่า!$B$4+SUM($H$5:H831)-SUM($I$5:I831))</f>
        <v/>
      </c>
      <c r="K831" s="22" t="str">
        <f aca="false">IF(A831="","",MONTH(A831))</f>
        <v/>
      </c>
      <c r="L831" s="22" t="str">
        <f aca="false">IF(A831="","",YEAR(A831))</f>
        <v/>
      </c>
    </row>
    <row r="832" customFormat="false" ht="15" hidden="false" customHeight="false" outlineLevel="0" collapsed="false">
      <c r="A832" s="23"/>
      <c r="B832" s="24"/>
      <c r="C832" s="24"/>
      <c r="D832" s="20" t="str">
        <f aca="false">IF(C832="","",IF(COUNTIF(ตั้งค่า!$A$7:$A$18,C832)&gt;0,"รายรับ",IF(COUNTIF(ตั้งค่า!$C$7:$C$31,C832)&gt;0,"รายจ่าย","ไม่พบหมวดหมู่")))</f>
        <v/>
      </c>
      <c r="E832" s="25"/>
      <c r="F832" s="24"/>
      <c r="G832" s="24"/>
      <c r="H832" s="21" t="n">
        <f aca="false">IF(OR(E832="",D832&lt;&gt;"รายรับ"),0,E832)</f>
        <v>0</v>
      </c>
      <c r="I832" s="21" t="n">
        <f aca="false">IF(OR(E832="",D832&lt;&gt;"รายจ่าย"),0,E832)</f>
        <v>0</v>
      </c>
      <c r="J832" s="21" t="str">
        <f aca="false">IF(E832="","",ตั้งค่า!$B$4+SUM($H$5:H832)-SUM($I$5:I832))</f>
        <v/>
      </c>
      <c r="K832" s="22" t="str">
        <f aca="false">IF(A832="","",MONTH(A832))</f>
        <v/>
      </c>
      <c r="L832" s="22" t="str">
        <f aca="false">IF(A832="","",YEAR(A832))</f>
        <v/>
      </c>
    </row>
    <row r="833" customFormat="false" ht="15" hidden="false" customHeight="false" outlineLevel="0" collapsed="false">
      <c r="A833" s="23"/>
      <c r="B833" s="24"/>
      <c r="C833" s="24"/>
      <c r="D833" s="20" t="str">
        <f aca="false">IF(C833="","",IF(COUNTIF(ตั้งค่า!$A$7:$A$18,C833)&gt;0,"รายรับ",IF(COUNTIF(ตั้งค่า!$C$7:$C$31,C833)&gt;0,"รายจ่าย","ไม่พบหมวดหมู่")))</f>
        <v/>
      </c>
      <c r="E833" s="25"/>
      <c r="F833" s="24"/>
      <c r="G833" s="24"/>
      <c r="H833" s="21" t="n">
        <f aca="false">IF(OR(E833="",D833&lt;&gt;"รายรับ"),0,E833)</f>
        <v>0</v>
      </c>
      <c r="I833" s="21" t="n">
        <f aca="false">IF(OR(E833="",D833&lt;&gt;"รายจ่าย"),0,E833)</f>
        <v>0</v>
      </c>
      <c r="J833" s="21" t="str">
        <f aca="false">IF(E833="","",ตั้งค่า!$B$4+SUM($H$5:H833)-SUM($I$5:I833))</f>
        <v/>
      </c>
      <c r="K833" s="22" t="str">
        <f aca="false">IF(A833="","",MONTH(A833))</f>
        <v/>
      </c>
      <c r="L833" s="22" t="str">
        <f aca="false">IF(A833="","",YEAR(A833))</f>
        <v/>
      </c>
    </row>
    <row r="834" customFormat="false" ht="15" hidden="false" customHeight="false" outlineLevel="0" collapsed="false">
      <c r="A834" s="23"/>
      <c r="B834" s="24"/>
      <c r="C834" s="24"/>
      <c r="D834" s="20" t="str">
        <f aca="false">IF(C834="","",IF(COUNTIF(ตั้งค่า!$A$7:$A$18,C834)&gt;0,"รายรับ",IF(COUNTIF(ตั้งค่า!$C$7:$C$31,C834)&gt;0,"รายจ่าย","ไม่พบหมวดหมู่")))</f>
        <v/>
      </c>
      <c r="E834" s="25"/>
      <c r="F834" s="24"/>
      <c r="G834" s="24"/>
      <c r="H834" s="21" t="n">
        <f aca="false">IF(OR(E834="",D834&lt;&gt;"รายรับ"),0,E834)</f>
        <v>0</v>
      </c>
      <c r="I834" s="21" t="n">
        <f aca="false">IF(OR(E834="",D834&lt;&gt;"รายจ่าย"),0,E834)</f>
        <v>0</v>
      </c>
      <c r="J834" s="21" t="str">
        <f aca="false">IF(E834="","",ตั้งค่า!$B$4+SUM($H$5:H834)-SUM($I$5:I834))</f>
        <v/>
      </c>
      <c r="K834" s="22" t="str">
        <f aca="false">IF(A834="","",MONTH(A834))</f>
        <v/>
      </c>
      <c r="L834" s="22" t="str">
        <f aca="false">IF(A834="","",YEAR(A834))</f>
        <v/>
      </c>
    </row>
    <row r="835" customFormat="false" ht="15" hidden="false" customHeight="false" outlineLevel="0" collapsed="false">
      <c r="A835" s="23"/>
      <c r="B835" s="24"/>
      <c r="C835" s="24"/>
      <c r="D835" s="20" t="str">
        <f aca="false">IF(C835="","",IF(COUNTIF(ตั้งค่า!$A$7:$A$18,C835)&gt;0,"รายรับ",IF(COUNTIF(ตั้งค่า!$C$7:$C$31,C835)&gt;0,"รายจ่าย","ไม่พบหมวดหมู่")))</f>
        <v/>
      </c>
      <c r="E835" s="25"/>
      <c r="F835" s="24"/>
      <c r="G835" s="24"/>
      <c r="H835" s="21" t="n">
        <f aca="false">IF(OR(E835="",D835&lt;&gt;"รายรับ"),0,E835)</f>
        <v>0</v>
      </c>
      <c r="I835" s="21" t="n">
        <f aca="false">IF(OR(E835="",D835&lt;&gt;"รายจ่าย"),0,E835)</f>
        <v>0</v>
      </c>
      <c r="J835" s="21" t="str">
        <f aca="false">IF(E835="","",ตั้งค่า!$B$4+SUM($H$5:H835)-SUM($I$5:I835))</f>
        <v/>
      </c>
      <c r="K835" s="22" t="str">
        <f aca="false">IF(A835="","",MONTH(A835))</f>
        <v/>
      </c>
      <c r="L835" s="22" t="str">
        <f aca="false">IF(A835="","",YEAR(A835))</f>
        <v/>
      </c>
    </row>
    <row r="836" customFormat="false" ht="15" hidden="false" customHeight="false" outlineLevel="0" collapsed="false">
      <c r="A836" s="23"/>
      <c r="B836" s="24"/>
      <c r="C836" s="24"/>
      <c r="D836" s="20" t="str">
        <f aca="false">IF(C836="","",IF(COUNTIF(ตั้งค่า!$A$7:$A$18,C836)&gt;0,"รายรับ",IF(COUNTIF(ตั้งค่า!$C$7:$C$31,C836)&gt;0,"รายจ่าย","ไม่พบหมวดหมู่")))</f>
        <v/>
      </c>
      <c r="E836" s="25"/>
      <c r="F836" s="24"/>
      <c r="G836" s="24"/>
      <c r="H836" s="21" t="n">
        <f aca="false">IF(OR(E836="",D836&lt;&gt;"รายรับ"),0,E836)</f>
        <v>0</v>
      </c>
      <c r="I836" s="21" t="n">
        <f aca="false">IF(OR(E836="",D836&lt;&gt;"รายจ่าย"),0,E836)</f>
        <v>0</v>
      </c>
      <c r="J836" s="21" t="str">
        <f aca="false">IF(E836="","",ตั้งค่า!$B$4+SUM($H$5:H836)-SUM($I$5:I836))</f>
        <v/>
      </c>
      <c r="K836" s="22" t="str">
        <f aca="false">IF(A836="","",MONTH(A836))</f>
        <v/>
      </c>
      <c r="L836" s="22" t="str">
        <f aca="false">IF(A836="","",YEAR(A836))</f>
        <v/>
      </c>
    </row>
    <row r="837" customFormat="false" ht="15" hidden="false" customHeight="false" outlineLevel="0" collapsed="false">
      <c r="A837" s="23"/>
      <c r="B837" s="24"/>
      <c r="C837" s="24"/>
      <c r="D837" s="20" t="str">
        <f aca="false">IF(C837="","",IF(COUNTIF(ตั้งค่า!$A$7:$A$18,C837)&gt;0,"รายรับ",IF(COUNTIF(ตั้งค่า!$C$7:$C$31,C837)&gt;0,"รายจ่าย","ไม่พบหมวดหมู่")))</f>
        <v/>
      </c>
      <c r="E837" s="25"/>
      <c r="F837" s="24"/>
      <c r="G837" s="24"/>
      <c r="H837" s="21" t="n">
        <f aca="false">IF(OR(E837="",D837&lt;&gt;"รายรับ"),0,E837)</f>
        <v>0</v>
      </c>
      <c r="I837" s="21" t="n">
        <f aca="false">IF(OR(E837="",D837&lt;&gt;"รายจ่าย"),0,E837)</f>
        <v>0</v>
      </c>
      <c r="J837" s="21" t="str">
        <f aca="false">IF(E837="","",ตั้งค่า!$B$4+SUM($H$5:H837)-SUM($I$5:I837))</f>
        <v/>
      </c>
      <c r="K837" s="22" t="str">
        <f aca="false">IF(A837="","",MONTH(A837))</f>
        <v/>
      </c>
      <c r="L837" s="22" t="str">
        <f aca="false">IF(A837="","",YEAR(A837))</f>
        <v/>
      </c>
    </row>
    <row r="838" customFormat="false" ht="15" hidden="false" customHeight="false" outlineLevel="0" collapsed="false">
      <c r="A838" s="23"/>
      <c r="B838" s="24"/>
      <c r="C838" s="24"/>
      <c r="D838" s="20" t="str">
        <f aca="false">IF(C838="","",IF(COUNTIF(ตั้งค่า!$A$7:$A$18,C838)&gt;0,"รายรับ",IF(COUNTIF(ตั้งค่า!$C$7:$C$31,C838)&gt;0,"รายจ่าย","ไม่พบหมวดหมู่")))</f>
        <v/>
      </c>
      <c r="E838" s="25"/>
      <c r="F838" s="24"/>
      <c r="G838" s="24"/>
      <c r="H838" s="21" t="n">
        <f aca="false">IF(OR(E838="",D838&lt;&gt;"รายรับ"),0,E838)</f>
        <v>0</v>
      </c>
      <c r="I838" s="21" t="n">
        <f aca="false">IF(OR(E838="",D838&lt;&gt;"รายจ่าย"),0,E838)</f>
        <v>0</v>
      </c>
      <c r="J838" s="21" t="str">
        <f aca="false">IF(E838="","",ตั้งค่า!$B$4+SUM($H$5:H838)-SUM($I$5:I838))</f>
        <v/>
      </c>
      <c r="K838" s="22" t="str">
        <f aca="false">IF(A838="","",MONTH(A838))</f>
        <v/>
      </c>
      <c r="L838" s="22" t="str">
        <f aca="false">IF(A838="","",YEAR(A838))</f>
        <v/>
      </c>
    </row>
    <row r="839" customFormat="false" ht="15" hidden="false" customHeight="false" outlineLevel="0" collapsed="false">
      <c r="A839" s="23"/>
      <c r="B839" s="24"/>
      <c r="C839" s="24"/>
      <c r="D839" s="20" t="str">
        <f aca="false">IF(C839="","",IF(COUNTIF(ตั้งค่า!$A$7:$A$18,C839)&gt;0,"รายรับ",IF(COUNTIF(ตั้งค่า!$C$7:$C$31,C839)&gt;0,"รายจ่าย","ไม่พบหมวดหมู่")))</f>
        <v/>
      </c>
      <c r="E839" s="25"/>
      <c r="F839" s="24"/>
      <c r="G839" s="24"/>
      <c r="H839" s="21" t="n">
        <f aca="false">IF(OR(E839="",D839&lt;&gt;"รายรับ"),0,E839)</f>
        <v>0</v>
      </c>
      <c r="I839" s="21" t="n">
        <f aca="false">IF(OR(E839="",D839&lt;&gt;"รายจ่าย"),0,E839)</f>
        <v>0</v>
      </c>
      <c r="J839" s="21" t="str">
        <f aca="false">IF(E839="","",ตั้งค่า!$B$4+SUM($H$5:H839)-SUM($I$5:I839))</f>
        <v/>
      </c>
      <c r="K839" s="22" t="str">
        <f aca="false">IF(A839="","",MONTH(A839))</f>
        <v/>
      </c>
      <c r="L839" s="22" t="str">
        <f aca="false">IF(A839="","",YEAR(A839))</f>
        <v/>
      </c>
    </row>
    <row r="840" customFormat="false" ht="15" hidden="false" customHeight="false" outlineLevel="0" collapsed="false">
      <c r="A840" s="23"/>
      <c r="B840" s="24"/>
      <c r="C840" s="24"/>
      <c r="D840" s="20" t="str">
        <f aca="false">IF(C840="","",IF(COUNTIF(ตั้งค่า!$A$7:$A$18,C840)&gt;0,"รายรับ",IF(COUNTIF(ตั้งค่า!$C$7:$C$31,C840)&gt;0,"รายจ่าย","ไม่พบหมวดหมู่")))</f>
        <v/>
      </c>
      <c r="E840" s="25"/>
      <c r="F840" s="24"/>
      <c r="G840" s="24"/>
      <c r="H840" s="21" t="n">
        <f aca="false">IF(OR(E840="",D840&lt;&gt;"รายรับ"),0,E840)</f>
        <v>0</v>
      </c>
      <c r="I840" s="21" t="n">
        <f aca="false">IF(OR(E840="",D840&lt;&gt;"รายจ่าย"),0,E840)</f>
        <v>0</v>
      </c>
      <c r="J840" s="21" t="str">
        <f aca="false">IF(E840="","",ตั้งค่า!$B$4+SUM($H$5:H840)-SUM($I$5:I840))</f>
        <v/>
      </c>
      <c r="K840" s="22" t="str">
        <f aca="false">IF(A840="","",MONTH(A840))</f>
        <v/>
      </c>
      <c r="L840" s="22" t="str">
        <f aca="false">IF(A840="","",YEAR(A840))</f>
        <v/>
      </c>
    </row>
    <row r="841" customFormat="false" ht="15" hidden="false" customHeight="false" outlineLevel="0" collapsed="false">
      <c r="A841" s="23"/>
      <c r="B841" s="24"/>
      <c r="C841" s="24"/>
      <c r="D841" s="20" t="str">
        <f aca="false">IF(C841="","",IF(COUNTIF(ตั้งค่า!$A$7:$A$18,C841)&gt;0,"รายรับ",IF(COUNTIF(ตั้งค่า!$C$7:$C$31,C841)&gt;0,"รายจ่าย","ไม่พบหมวดหมู่")))</f>
        <v/>
      </c>
      <c r="E841" s="25"/>
      <c r="F841" s="24"/>
      <c r="G841" s="24"/>
      <c r="H841" s="21" t="n">
        <f aca="false">IF(OR(E841="",D841&lt;&gt;"รายรับ"),0,E841)</f>
        <v>0</v>
      </c>
      <c r="I841" s="21" t="n">
        <f aca="false">IF(OR(E841="",D841&lt;&gt;"รายจ่าย"),0,E841)</f>
        <v>0</v>
      </c>
      <c r="J841" s="21" t="str">
        <f aca="false">IF(E841="","",ตั้งค่า!$B$4+SUM($H$5:H841)-SUM($I$5:I841))</f>
        <v/>
      </c>
      <c r="K841" s="22" t="str">
        <f aca="false">IF(A841="","",MONTH(A841))</f>
        <v/>
      </c>
      <c r="L841" s="22" t="str">
        <f aca="false">IF(A841="","",YEAR(A841))</f>
        <v/>
      </c>
    </row>
    <row r="842" customFormat="false" ht="15" hidden="false" customHeight="false" outlineLevel="0" collapsed="false">
      <c r="A842" s="23"/>
      <c r="B842" s="24"/>
      <c r="C842" s="24"/>
      <c r="D842" s="20" t="str">
        <f aca="false">IF(C842="","",IF(COUNTIF(ตั้งค่า!$A$7:$A$18,C842)&gt;0,"รายรับ",IF(COUNTIF(ตั้งค่า!$C$7:$C$31,C842)&gt;0,"รายจ่าย","ไม่พบหมวดหมู่")))</f>
        <v/>
      </c>
      <c r="E842" s="25"/>
      <c r="F842" s="24"/>
      <c r="G842" s="24"/>
      <c r="H842" s="21" t="n">
        <f aca="false">IF(OR(E842="",D842&lt;&gt;"รายรับ"),0,E842)</f>
        <v>0</v>
      </c>
      <c r="I842" s="21" t="n">
        <f aca="false">IF(OR(E842="",D842&lt;&gt;"รายจ่าย"),0,E842)</f>
        <v>0</v>
      </c>
      <c r="J842" s="21" t="str">
        <f aca="false">IF(E842="","",ตั้งค่า!$B$4+SUM($H$5:H842)-SUM($I$5:I842))</f>
        <v/>
      </c>
      <c r="K842" s="22" t="str">
        <f aca="false">IF(A842="","",MONTH(A842))</f>
        <v/>
      </c>
      <c r="L842" s="22" t="str">
        <f aca="false">IF(A842="","",YEAR(A842))</f>
        <v/>
      </c>
    </row>
    <row r="843" customFormat="false" ht="15" hidden="false" customHeight="false" outlineLevel="0" collapsed="false">
      <c r="A843" s="23"/>
      <c r="B843" s="24"/>
      <c r="C843" s="24"/>
      <c r="D843" s="20" t="str">
        <f aca="false">IF(C843="","",IF(COUNTIF(ตั้งค่า!$A$7:$A$18,C843)&gt;0,"รายรับ",IF(COUNTIF(ตั้งค่า!$C$7:$C$31,C843)&gt;0,"รายจ่าย","ไม่พบหมวดหมู่")))</f>
        <v/>
      </c>
      <c r="E843" s="25"/>
      <c r="F843" s="24"/>
      <c r="G843" s="24"/>
      <c r="H843" s="21" t="n">
        <f aca="false">IF(OR(E843="",D843&lt;&gt;"รายรับ"),0,E843)</f>
        <v>0</v>
      </c>
      <c r="I843" s="21" t="n">
        <f aca="false">IF(OR(E843="",D843&lt;&gt;"รายจ่าย"),0,E843)</f>
        <v>0</v>
      </c>
      <c r="J843" s="21" t="str">
        <f aca="false">IF(E843="","",ตั้งค่า!$B$4+SUM($H$5:H843)-SUM($I$5:I843))</f>
        <v/>
      </c>
      <c r="K843" s="22" t="str">
        <f aca="false">IF(A843="","",MONTH(A843))</f>
        <v/>
      </c>
      <c r="L843" s="22" t="str">
        <f aca="false">IF(A843="","",YEAR(A843))</f>
        <v/>
      </c>
    </row>
    <row r="844" customFormat="false" ht="15" hidden="false" customHeight="false" outlineLevel="0" collapsed="false">
      <c r="A844" s="23"/>
      <c r="B844" s="24"/>
      <c r="C844" s="24"/>
      <c r="D844" s="20" t="str">
        <f aca="false">IF(C844="","",IF(COUNTIF(ตั้งค่า!$A$7:$A$18,C844)&gt;0,"รายรับ",IF(COUNTIF(ตั้งค่า!$C$7:$C$31,C844)&gt;0,"รายจ่าย","ไม่พบหมวดหมู่")))</f>
        <v/>
      </c>
      <c r="E844" s="25"/>
      <c r="F844" s="24"/>
      <c r="G844" s="24"/>
      <c r="H844" s="21" t="n">
        <f aca="false">IF(OR(E844="",D844&lt;&gt;"รายรับ"),0,E844)</f>
        <v>0</v>
      </c>
      <c r="I844" s="21" t="n">
        <f aca="false">IF(OR(E844="",D844&lt;&gt;"รายจ่าย"),0,E844)</f>
        <v>0</v>
      </c>
      <c r="J844" s="21" t="str">
        <f aca="false">IF(E844="","",ตั้งค่า!$B$4+SUM($H$5:H844)-SUM($I$5:I844))</f>
        <v/>
      </c>
      <c r="K844" s="22" t="str">
        <f aca="false">IF(A844="","",MONTH(A844))</f>
        <v/>
      </c>
      <c r="L844" s="22" t="str">
        <f aca="false">IF(A844="","",YEAR(A844))</f>
        <v/>
      </c>
    </row>
    <row r="845" customFormat="false" ht="15" hidden="false" customHeight="false" outlineLevel="0" collapsed="false">
      <c r="A845" s="23"/>
      <c r="B845" s="24"/>
      <c r="C845" s="24"/>
      <c r="D845" s="20" t="str">
        <f aca="false">IF(C845="","",IF(COUNTIF(ตั้งค่า!$A$7:$A$18,C845)&gt;0,"รายรับ",IF(COUNTIF(ตั้งค่า!$C$7:$C$31,C845)&gt;0,"รายจ่าย","ไม่พบหมวดหมู่")))</f>
        <v/>
      </c>
      <c r="E845" s="25"/>
      <c r="F845" s="24"/>
      <c r="G845" s="24"/>
      <c r="H845" s="21" t="n">
        <f aca="false">IF(OR(E845="",D845&lt;&gt;"รายรับ"),0,E845)</f>
        <v>0</v>
      </c>
      <c r="I845" s="21" t="n">
        <f aca="false">IF(OR(E845="",D845&lt;&gt;"รายจ่าย"),0,E845)</f>
        <v>0</v>
      </c>
      <c r="J845" s="21" t="str">
        <f aca="false">IF(E845="","",ตั้งค่า!$B$4+SUM($H$5:H845)-SUM($I$5:I845))</f>
        <v/>
      </c>
      <c r="K845" s="22" t="str">
        <f aca="false">IF(A845="","",MONTH(A845))</f>
        <v/>
      </c>
      <c r="L845" s="22" t="str">
        <f aca="false">IF(A845="","",YEAR(A845))</f>
        <v/>
      </c>
    </row>
    <row r="846" customFormat="false" ht="15" hidden="false" customHeight="false" outlineLevel="0" collapsed="false">
      <c r="A846" s="23"/>
      <c r="B846" s="24"/>
      <c r="C846" s="24"/>
      <c r="D846" s="20" t="str">
        <f aca="false">IF(C846="","",IF(COUNTIF(ตั้งค่า!$A$7:$A$18,C846)&gt;0,"รายรับ",IF(COUNTIF(ตั้งค่า!$C$7:$C$31,C846)&gt;0,"รายจ่าย","ไม่พบหมวดหมู่")))</f>
        <v/>
      </c>
      <c r="E846" s="25"/>
      <c r="F846" s="24"/>
      <c r="G846" s="24"/>
      <c r="H846" s="21" t="n">
        <f aca="false">IF(OR(E846="",D846&lt;&gt;"รายรับ"),0,E846)</f>
        <v>0</v>
      </c>
      <c r="I846" s="21" t="n">
        <f aca="false">IF(OR(E846="",D846&lt;&gt;"รายจ่าย"),0,E846)</f>
        <v>0</v>
      </c>
      <c r="J846" s="21" t="str">
        <f aca="false">IF(E846="","",ตั้งค่า!$B$4+SUM($H$5:H846)-SUM($I$5:I846))</f>
        <v/>
      </c>
      <c r="K846" s="22" t="str">
        <f aca="false">IF(A846="","",MONTH(A846))</f>
        <v/>
      </c>
      <c r="L846" s="22" t="str">
        <f aca="false">IF(A846="","",YEAR(A846))</f>
        <v/>
      </c>
    </row>
    <row r="847" customFormat="false" ht="15" hidden="false" customHeight="false" outlineLevel="0" collapsed="false">
      <c r="A847" s="23"/>
      <c r="B847" s="24"/>
      <c r="C847" s="24"/>
      <c r="D847" s="20" t="str">
        <f aca="false">IF(C847="","",IF(COUNTIF(ตั้งค่า!$A$7:$A$18,C847)&gt;0,"รายรับ",IF(COUNTIF(ตั้งค่า!$C$7:$C$31,C847)&gt;0,"รายจ่าย","ไม่พบหมวดหมู่")))</f>
        <v/>
      </c>
      <c r="E847" s="25"/>
      <c r="F847" s="24"/>
      <c r="G847" s="24"/>
      <c r="H847" s="21" t="n">
        <f aca="false">IF(OR(E847="",D847&lt;&gt;"รายรับ"),0,E847)</f>
        <v>0</v>
      </c>
      <c r="I847" s="21" t="n">
        <f aca="false">IF(OR(E847="",D847&lt;&gt;"รายจ่าย"),0,E847)</f>
        <v>0</v>
      </c>
      <c r="J847" s="21" t="str">
        <f aca="false">IF(E847="","",ตั้งค่า!$B$4+SUM($H$5:H847)-SUM($I$5:I847))</f>
        <v/>
      </c>
      <c r="K847" s="22" t="str">
        <f aca="false">IF(A847="","",MONTH(A847))</f>
        <v/>
      </c>
      <c r="L847" s="22" t="str">
        <f aca="false">IF(A847="","",YEAR(A847))</f>
        <v/>
      </c>
    </row>
    <row r="848" customFormat="false" ht="15" hidden="false" customHeight="false" outlineLevel="0" collapsed="false">
      <c r="A848" s="23"/>
      <c r="B848" s="24"/>
      <c r="C848" s="24"/>
      <c r="D848" s="20" t="str">
        <f aca="false">IF(C848="","",IF(COUNTIF(ตั้งค่า!$A$7:$A$18,C848)&gt;0,"รายรับ",IF(COUNTIF(ตั้งค่า!$C$7:$C$31,C848)&gt;0,"รายจ่าย","ไม่พบหมวดหมู่")))</f>
        <v/>
      </c>
      <c r="E848" s="25"/>
      <c r="F848" s="24"/>
      <c r="G848" s="24"/>
      <c r="H848" s="21" t="n">
        <f aca="false">IF(OR(E848="",D848&lt;&gt;"รายรับ"),0,E848)</f>
        <v>0</v>
      </c>
      <c r="I848" s="21" t="n">
        <f aca="false">IF(OR(E848="",D848&lt;&gt;"รายจ่าย"),0,E848)</f>
        <v>0</v>
      </c>
      <c r="J848" s="21" t="str">
        <f aca="false">IF(E848="","",ตั้งค่า!$B$4+SUM($H$5:H848)-SUM($I$5:I848))</f>
        <v/>
      </c>
      <c r="K848" s="22" t="str">
        <f aca="false">IF(A848="","",MONTH(A848))</f>
        <v/>
      </c>
      <c r="L848" s="22" t="str">
        <f aca="false">IF(A848="","",YEAR(A848))</f>
        <v/>
      </c>
    </row>
    <row r="849" customFormat="false" ht="15" hidden="false" customHeight="false" outlineLevel="0" collapsed="false">
      <c r="A849" s="23"/>
      <c r="B849" s="24"/>
      <c r="C849" s="24"/>
      <c r="D849" s="20" t="str">
        <f aca="false">IF(C849="","",IF(COUNTIF(ตั้งค่า!$A$7:$A$18,C849)&gt;0,"รายรับ",IF(COUNTIF(ตั้งค่า!$C$7:$C$31,C849)&gt;0,"รายจ่าย","ไม่พบหมวดหมู่")))</f>
        <v/>
      </c>
      <c r="E849" s="25"/>
      <c r="F849" s="24"/>
      <c r="G849" s="24"/>
      <c r="H849" s="21" t="n">
        <f aca="false">IF(OR(E849="",D849&lt;&gt;"รายรับ"),0,E849)</f>
        <v>0</v>
      </c>
      <c r="I849" s="21" t="n">
        <f aca="false">IF(OR(E849="",D849&lt;&gt;"รายจ่าย"),0,E849)</f>
        <v>0</v>
      </c>
      <c r="J849" s="21" t="str">
        <f aca="false">IF(E849="","",ตั้งค่า!$B$4+SUM($H$5:H849)-SUM($I$5:I849))</f>
        <v/>
      </c>
      <c r="K849" s="22" t="str">
        <f aca="false">IF(A849="","",MONTH(A849))</f>
        <v/>
      </c>
      <c r="L849" s="22" t="str">
        <f aca="false">IF(A849="","",YEAR(A849))</f>
        <v/>
      </c>
    </row>
    <row r="850" customFormat="false" ht="15" hidden="false" customHeight="false" outlineLevel="0" collapsed="false">
      <c r="A850" s="23"/>
      <c r="B850" s="24"/>
      <c r="C850" s="24"/>
      <c r="D850" s="20" t="str">
        <f aca="false">IF(C850="","",IF(COUNTIF(ตั้งค่า!$A$7:$A$18,C850)&gt;0,"รายรับ",IF(COUNTIF(ตั้งค่า!$C$7:$C$31,C850)&gt;0,"รายจ่าย","ไม่พบหมวดหมู่")))</f>
        <v/>
      </c>
      <c r="E850" s="25"/>
      <c r="F850" s="24"/>
      <c r="G850" s="24"/>
      <c r="H850" s="21" t="n">
        <f aca="false">IF(OR(E850="",D850&lt;&gt;"รายรับ"),0,E850)</f>
        <v>0</v>
      </c>
      <c r="I850" s="21" t="n">
        <f aca="false">IF(OR(E850="",D850&lt;&gt;"รายจ่าย"),0,E850)</f>
        <v>0</v>
      </c>
      <c r="J850" s="21" t="str">
        <f aca="false">IF(E850="","",ตั้งค่า!$B$4+SUM($H$5:H850)-SUM($I$5:I850))</f>
        <v/>
      </c>
      <c r="K850" s="22" t="str">
        <f aca="false">IF(A850="","",MONTH(A850))</f>
        <v/>
      </c>
      <c r="L850" s="22" t="str">
        <f aca="false">IF(A850="","",YEAR(A850))</f>
        <v/>
      </c>
    </row>
    <row r="851" customFormat="false" ht="15" hidden="false" customHeight="false" outlineLevel="0" collapsed="false">
      <c r="A851" s="23"/>
      <c r="B851" s="24"/>
      <c r="C851" s="24"/>
      <c r="D851" s="20" t="str">
        <f aca="false">IF(C851="","",IF(COUNTIF(ตั้งค่า!$A$7:$A$18,C851)&gt;0,"รายรับ",IF(COUNTIF(ตั้งค่า!$C$7:$C$31,C851)&gt;0,"รายจ่าย","ไม่พบหมวดหมู่")))</f>
        <v/>
      </c>
      <c r="E851" s="25"/>
      <c r="F851" s="24"/>
      <c r="G851" s="24"/>
      <c r="H851" s="21" t="n">
        <f aca="false">IF(OR(E851="",D851&lt;&gt;"รายรับ"),0,E851)</f>
        <v>0</v>
      </c>
      <c r="I851" s="21" t="n">
        <f aca="false">IF(OR(E851="",D851&lt;&gt;"รายจ่าย"),0,E851)</f>
        <v>0</v>
      </c>
      <c r="J851" s="21" t="str">
        <f aca="false">IF(E851="","",ตั้งค่า!$B$4+SUM($H$5:H851)-SUM($I$5:I851))</f>
        <v/>
      </c>
      <c r="K851" s="22" t="str">
        <f aca="false">IF(A851="","",MONTH(A851))</f>
        <v/>
      </c>
      <c r="L851" s="22" t="str">
        <f aca="false">IF(A851="","",YEAR(A851))</f>
        <v/>
      </c>
    </row>
    <row r="852" customFormat="false" ht="15" hidden="false" customHeight="false" outlineLevel="0" collapsed="false">
      <c r="A852" s="23"/>
      <c r="B852" s="24"/>
      <c r="C852" s="24"/>
      <c r="D852" s="20" t="str">
        <f aca="false">IF(C852="","",IF(COUNTIF(ตั้งค่า!$A$7:$A$18,C852)&gt;0,"รายรับ",IF(COUNTIF(ตั้งค่า!$C$7:$C$31,C852)&gt;0,"รายจ่าย","ไม่พบหมวดหมู่")))</f>
        <v/>
      </c>
      <c r="E852" s="25"/>
      <c r="F852" s="24"/>
      <c r="G852" s="24"/>
      <c r="H852" s="21" t="n">
        <f aca="false">IF(OR(E852="",D852&lt;&gt;"รายรับ"),0,E852)</f>
        <v>0</v>
      </c>
      <c r="I852" s="21" t="n">
        <f aca="false">IF(OR(E852="",D852&lt;&gt;"รายจ่าย"),0,E852)</f>
        <v>0</v>
      </c>
      <c r="J852" s="21" t="str">
        <f aca="false">IF(E852="","",ตั้งค่า!$B$4+SUM($H$5:H852)-SUM($I$5:I852))</f>
        <v/>
      </c>
      <c r="K852" s="22" t="str">
        <f aca="false">IF(A852="","",MONTH(A852))</f>
        <v/>
      </c>
      <c r="L852" s="22" t="str">
        <f aca="false">IF(A852="","",YEAR(A852))</f>
        <v/>
      </c>
    </row>
    <row r="853" customFormat="false" ht="15" hidden="false" customHeight="false" outlineLevel="0" collapsed="false">
      <c r="A853" s="23"/>
      <c r="B853" s="24"/>
      <c r="C853" s="24"/>
      <c r="D853" s="20" t="str">
        <f aca="false">IF(C853="","",IF(COUNTIF(ตั้งค่า!$A$7:$A$18,C853)&gt;0,"รายรับ",IF(COUNTIF(ตั้งค่า!$C$7:$C$31,C853)&gt;0,"รายจ่าย","ไม่พบหมวดหมู่")))</f>
        <v/>
      </c>
      <c r="E853" s="25"/>
      <c r="F853" s="24"/>
      <c r="G853" s="24"/>
      <c r="H853" s="21" t="n">
        <f aca="false">IF(OR(E853="",D853&lt;&gt;"รายรับ"),0,E853)</f>
        <v>0</v>
      </c>
      <c r="I853" s="21" t="n">
        <f aca="false">IF(OR(E853="",D853&lt;&gt;"รายจ่าย"),0,E853)</f>
        <v>0</v>
      </c>
      <c r="J853" s="21" t="str">
        <f aca="false">IF(E853="","",ตั้งค่า!$B$4+SUM($H$5:H853)-SUM($I$5:I853))</f>
        <v/>
      </c>
      <c r="K853" s="22" t="str">
        <f aca="false">IF(A853="","",MONTH(A853))</f>
        <v/>
      </c>
      <c r="L853" s="22" t="str">
        <f aca="false">IF(A853="","",YEAR(A853))</f>
        <v/>
      </c>
    </row>
    <row r="854" customFormat="false" ht="15" hidden="false" customHeight="false" outlineLevel="0" collapsed="false">
      <c r="A854" s="23"/>
      <c r="B854" s="24"/>
      <c r="C854" s="24"/>
      <c r="D854" s="20" t="str">
        <f aca="false">IF(C854="","",IF(COUNTIF(ตั้งค่า!$A$7:$A$18,C854)&gt;0,"รายรับ",IF(COUNTIF(ตั้งค่า!$C$7:$C$31,C854)&gt;0,"รายจ่าย","ไม่พบหมวดหมู่")))</f>
        <v/>
      </c>
      <c r="E854" s="25"/>
      <c r="F854" s="24"/>
      <c r="G854" s="24"/>
      <c r="H854" s="21" t="n">
        <f aca="false">IF(OR(E854="",D854&lt;&gt;"รายรับ"),0,E854)</f>
        <v>0</v>
      </c>
      <c r="I854" s="21" t="n">
        <f aca="false">IF(OR(E854="",D854&lt;&gt;"รายจ่าย"),0,E854)</f>
        <v>0</v>
      </c>
      <c r="J854" s="21" t="str">
        <f aca="false">IF(E854="","",ตั้งค่า!$B$4+SUM($H$5:H854)-SUM($I$5:I854))</f>
        <v/>
      </c>
      <c r="K854" s="22" t="str">
        <f aca="false">IF(A854="","",MONTH(A854))</f>
        <v/>
      </c>
      <c r="L854" s="22" t="str">
        <f aca="false">IF(A854="","",YEAR(A854))</f>
        <v/>
      </c>
    </row>
    <row r="855" customFormat="false" ht="15" hidden="false" customHeight="false" outlineLevel="0" collapsed="false">
      <c r="A855" s="23"/>
      <c r="B855" s="24"/>
      <c r="C855" s="24"/>
      <c r="D855" s="20" t="str">
        <f aca="false">IF(C855="","",IF(COUNTIF(ตั้งค่า!$A$7:$A$18,C855)&gt;0,"รายรับ",IF(COUNTIF(ตั้งค่า!$C$7:$C$31,C855)&gt;0,"รายจ่าย","ไม่พบหมวดหมู่")))</f>
        <v/>
      </c>
      <c r="E855" s="25"/>
      <c r="F855" s="24"/>
      <c r="G855" s="24"/>
      <c r="H855" s="21" t="n">
        <f aca="false">IF(OR(E855="",D855&lt;&gt;"รายรับ"),0,E855)</f>
        <v>0</v>
      </c>
      <c r="I855" s="21" t="n">
        <f aca="false">IF(OR(E855="",D855&lt;&gt;"รายจ่าย"),0,E855)</f>
        <v>0</v>
      </c>
      <c r="J855" s="21" t="str">
        <f aca="false">IF(E855="","",ตั้งค่า!$B$4+SUM($H$5:H855)-SUM($I$5:I855))</f>
        <v/>
      </c>
      <c r="K855" s="22" t="str">
        <f aca="false">IF(A855="","",MONTH(A855))</f>
        <v/>
      </c>
      <c r="L855" s="22" t="str">
        <f aca="false">IF(A855="","",YEAR(A855))</f>
        <v/>
      </c>
    </row>
    <row r="856" customFormat="false" ht="15" hidden="false" customHeight="false" outlineLevel="0" collapsed="false">
      <c r="A856" s="23"/>
      <c r="B856" s="24"/>
      <c r="C856" s="24"/>
      <c r="D856" s="20" t="str">
        <f aca="false">IF(C856="","",IF(COUNTIF(ตั้งค่า!$A$7:$A$18,C856)&gt;0,"รายรับ",IF(COUNTIF(ตั้งค่า!$C$7:$C$31,C856)&gt;0,"รายจ่าย","ไม่พบหมวดหมู่")))</f>
        <v/>
      </c>
      <c r="E856" s="25"/>
      <c r="F856" s="24"/>
      <c r="G856" s="24"/>
      <c r="H856" s="21" t="n">
        <f aca="false">IF(OR(E856="",D856&lt;&gt;"รายรับ"),0,E856)</f>
        <v>0</v>
      </c>
      <c r="I856" s="21" t="n">
        <f aca="false">IF(OR(E856="",D856&lt;&gt;"รายจ่าย"),0,E856)</f>
        <v>0</v>
      </c>
      <c r="J856" s="21" t="str">
        <f aca="false">IF(E856="","",ตั้งค่า!$B$4+SUM($H$5:H856)-SUM($I$5:I856))</f>
        <v/>
      </c>
      <c r="K856" s="22" t="str">
        <f aca="false">IF(A856="","",MONTH(A856))</f>
        <v/>
      </c>
      <c r="L856" s="22" t="str">
        <f aca="false">IF(A856="","",YEAR(A856))</f>
        <v/>
      </c>
    </row>
    <row r="857" customFormat="false" ht="15" hidden="false" customHeight="false" outlineLevel="0" collapsed="false">
      <c r="A857" s="23"/>
      <c r="B857" s="24"/>
      <c r="C857" s="24"/>
      <c r="D857" s="20" t="str">
        <f aca="false">IF(C857="","",IF(COUNTIF(ตั้งค่า!$A$7:$A$18,C857)&gt;0,"รายรับ",IF(COUNTIF(ตั้งค่า!$C$7:$C$31,C857)&gt;0,"รายจ่าย","ไม่พบหมวดหมู่")))</f>
        <v/>
      </c>
      <c r="E857" s="25"/>
      <c r="F857" s="24"/>
      <c r="G857" s="24"/>
      <c r="H857" s="21" t="n">
        <f aca="false">IF(OR(E857="",D857&lt;&gt;"รายรับ"),0,E857)</f>
        <v>0</v>
      </c>
      <c r="I857" s="21" t="n">
        <f aca="false">IF(OR(E857="",D857&lt;&gt;"รายจ่าย"),0,E857)</f>
        <v>0</v>
      </c>
      <c r="J857" s="21" t="str">
        <f aca="false">IF(E857="","",ตั้งค่า!$B$4+SUM($H$5:H857)-SUM($I$5:I857))</f>
        <v/>
      </c>
      <c r="K857" s="22" t="str">
        <f aca="false">IF(A857="","",MONTH(A857))</f>
        <v/>
      </c>
      <c r="L857" s="22" t="str">
        <f aca="false">IF(A857="","",YEAR(A857))</f>
        <v/>
      </c>
    </row>
    <row r="858" customFormat="false" ht="15" hidden="false" customHeight="false" outlineLevel="0" collapsed="false">
      <c r="A858" s="23"/>
      <c r="B858" s="24"/>
      <c r="C858" s="24"/>
      <c r="D858" s="20" t="str">
        <f aca="false">IF(C858="","",IF(COUNTIF(ตั้งค่า!$A$7:$A$18,C858)&gt;0,"รายรับ",IF(COUNTIF(ตั้งค่า!$C$7:$C$31,C858)&gt;0,"รายจ่าย","ไม่พบหมวดหมู่")))</f>
        <v/>
      </c>
      <c r="E858" s="25"/>
      <c r="F858" s="24"/>
      <c r="G858" s="24"/>
      <c r="H858" s="21" t="n">
        <f aca="false">IF(OR(E858="",D858&lt;&gt;"รายรับ"),0,E858)</f>
        <v>0</v>
      </c>
      <c r="I858" s="21" t="n">
        <f aca="false">IF(OR(E858="",D858&lt;&gt;"รายจ่าย"),0,E858)</f>
        <v>0</v>
      </c>
      <c r="J858" s="21" t="str">
        <f aca="false">IF(E858="","",ตั้งค่า!$B$4+SUM($H$5:H858)-SUM($I$5:I858))</f>
        <v/>
      </c>
      <c r="K858" s="22" t="str">
        <f aca="false">IF(A858="","",MONTH(A858))</f>
        <v/>
      </c>
      <c r="L858" s="22" t="str">
        <f aca="false">IF(A858="","",YEAR(A858))</f>
        <v/>
      </c>
    </row>
    <row r="859" customFormat="false" ht="15" hidden="false" customHeight="false" outlineLevel="0" collapsed="false">
      <c r="A859" s="23"/>
      <c r="B859" s="24"/>
      <c r="C859" s="24"/>
      <c r="D859" s="20" t="str">
        <f aca="false">IF(C859="","",IF(COUNTIF(ตั้งค่า!$A$7:$A$18,C859)&gt;0,"รายรับ",IF(COUNTIF(ตั้งค่า!$C$7:$C$31,C859)&gt;0,"รายจ่าย","ไม่พบหมวดหมู่")))</f>
        <v/>
      </c>
      <c r="E859" s="25"/>
      <c r="F859" s="24"/>
      <c r="G859" s="24"/>
      <c r="H859" s="21" t="n">
        <f aca="false">IF(OR(E859="",D859&lt;&gt;"รายรับ"),0,E859)</f>
        <v>0</v>
      </c>
      <c r="I859" s="21" t="n">
        <f aca="false">IF(OR(E859="",D859&lt;&gt;"รายจ่าย"),0,E859)</f>
        <v>0</v>
      </c>
      <c r="J859" s="21" t="str">
        <f aca="false">IF(E859="","",ตั้งค่า!$B$4+SUM($H$5:H859)-SUM($I$5:I859))</f>
        <v/>
      </c>
      <c r="K859" s="22" t="str">
        <f aca="false">IF(A859="","",MONTH(A859))</f>
        <v/>
      </c>
      <c r="L859" s="22" t="str">
        <f aca="false">IF(A859="","",YEAR(A859))</f>
        <v/>
      </c>
    </row>
    <row r="860" customFormat="false" ht="15" hidden="false" customHeight="false" outlineLevel="0" collapsed="false">
      <c r="A860" s="23"/>
      <c r="B860" s="24"/>
      <c r="C860" s="24"/>
      <c r="D860" s="20" t="str">
        <f aca="false">IF(C860="","",IF(COUNTIF(ตั้งค่า!$A$7:$A$18,C860)&gt;0,"รายรับ",IF(COUNTIF(ตั้งค่า!$C$7:$C$31,C860)&gt;0,"รายจ่าย","ไม่พบหมวดหมู่")))</f>
        <v/>
      </c>
      <c r="E860" s="25"/>
      <c r="F860" s="24"/>
      <c r="G860" s="24"/>
      <c r="H860" s="21" t="n">
        <f aca="false">IF(OR(E860="",D860&lt;&gt;"รายรับ"),0,E860)</f>
        <v>0</v>
      </c>
      <c r="I860" s="21" t="n">
        <f aca="false">IF(OR(E860="",D860&lt;&gt;"รายจ่าย"),0,E860)</f>
        <v>0</v>
      </c>
      <c r="J860" s="21" t="str">
        <f aca="false">IF(E860="","",ตั้งค่า!$B$4+SUM($H$5:H860)-SUM($I$5:I860))</f>
        <v/>
      </c>
      <c r="K860" s="22" t="str">
        <f aca="false">IF(A860="","",MONTH(A860))</f>
        <v/>
      </c>
      <c r="L860" s="22" t="str">
        <f aca="false">IF(A860="","",YEAR(A860))</f>
        <v/>
      </c>
    </row>
    <row r="861" customFormat="false" ht="15" hidden="false" customHeight="false" outlineLevel="0" collapsed="false">
      <c r="A861" s="23"/>
      <c r="B861" s="24"/>
      <c r="C861" s="24"/>
      <c r="D861" s="20" t="str">
        <f aca="false">IF(C861="","",IF(COUNTIF(ตั้งค่า!$A$7:$A$18,C861)&gt;0,"รายรับ",IF(COUNTIF(ตั้งค่า!$C$7:$C$31,C861)&gt;0,"รายจ่าย","ไม่พบหมวดหมู่")))</f>
        <v/>
      </c>
      <c r="E861" s="25"/>
      <c r="F861" s="24"/>
      <c r="G861" s="24"/>
      <c r="H861" s="21" t="n">
        <f aca="false">IF(OR(E861="",D861&lt;&gt;"รายรับ"),0,E861)</f>
        <v>0</v>
      </c>
      <c r="I861" s="21" t="n">
        <f aca="false">IF(OR(E861="",D861&lt;&gt;"รายจ่าย"),0,E861)</f>
        <v>0</v>
      </c>
      <c r="J861" s="21" t="str">
        <f aca="false">IF(E861="","",ตั้งค่า!$B$4+SUM($H$5:H861)-SUM($I$5:I861))</f>
        <v/>
      </c>
      <c r="K861" s="22" t="str">
        <f aca="false">IF(A861="","",MONTH(A861))</f>
        <v/>
      </c>
      <c r="L861" s="22" t="str">
        <f aca="false">IF(A861="","",YEAR(A861))</f>
        <v/>
      </c>
    </row>
    <row r="862" customFormat="false" ht="15" hidden="false" customHeight="false" outlineLevel="0" collapsed="false">
      <c r="A862" s="23"/>
      <c r="B862" s="24"/>
      <c r="C862" s="24"/>
      <c r="D862" s="20" t="str">
        <f aca="false">IF(C862="","",IF(COUNTIF(ตั้งค่า!$A$7:$A$18,C862)&gt;0,"รายรับ",IF(COUNTIF(ตั้งค่า!$C$7:$C$31,C862)&gt;0,"รายจ่าย","ไม่พบหมวดหมู่")))</f>
        <v/>
      </c>
      <c r="E862" s="25"/>
      <c r="F862" s="24"/>
      <c r="G862" s="24"/>
      <c r="H862" s="21" t="n">
        <f aca="false">IF(OR(E862="",D862&lt;&gt;"รายรับ"),0,E862)</f>
        <v>0</v>
      </c>
      <c r="I862" s="21" t="n">
        <f aca="false">IF(OR(E862="",D862&lt;&gt;"รายจ่าย"),0,E862)</f>
        <v>0</v>
      </c>
      <c r="J862" s="21" t="str">
        <f aca="false">IF(E862="","",ตั้งค่า!$B$4+SUM($H$5:H862)-SUM($I$5:I862))</f>
        <v/>
      </c>
      <c r="K862" s="22" t="str">
        <f aca="false">IF(A862="","",MONTH(A862))</f>
        <v/>
      </c>
      <c r="L862" s="22" t="str">
        <f aca="false">IF(A862="","",YEAR(A862))</f>
        <v/>
      </c>
    </row>
    <row r="863" customFormat="false" ht="15" hidden="false" customHeight="false" outlineLevel="0" collapsed="false">
      <c r="A863" s="23"/>
      <c r="B863" s="24"/>
      <c r="C863" s="24"/>
      <c r="D863" s="20" t="str">
        <f aca="false">IF(C863="","",IF(COUNTIF(ตั้งค่า!$A$7:$A$18,C863)&gt;0,"รายรับ",IF(COUNTIF(ตั้งค่า!$C$7:$C$31,C863)&gt;0,"รายจ่าย","ไม่พบหมวดหมู่")))</f>
        <v/>
      </c>
      <c r="E863" s="25"/>
      <c r="F863" s="24"/>
      <c r="G863" s="24"/>
      <c r="H863" s="21" t="n">
        <f aca="false">IF(OR(E863="",D863&lt;&gt;"รายรับ"),0,E863)</f>
        <v>0</v>
      </c>
      <c r="I863" s="21" t="n">
        <f aca="false">IF(OR(E863="",D863&lt;&gt;"รายจ่าย"),0,E863)</f>
        <v>0</v>
      </c>
      <c r="J863" s="21" t="str">
        <f aca="false">IF(E863="","",ตั้งค่า!$B$4+SUM($H$5:H863)-SUM($I$5:I863))</f>
        <v/>
      </c>
      <c r="K863" s="22" t="str">
        <f aca="false">IF(A863="","",MONTH(A863))</f>
        <v/>
      </c>
      <c r="L863" s="22" t="str">
        <f aca="false">IF(A863="","",YEAR(A863))</f>
        <v/>
      </c>
    </row>
    <row r="864" customFormat="false" ht="15" hidden="false" customHeight="false" outlineLevel="0" collapsed="false">
      <c r="A864" s="23"/>
      <c r="B864" s="24"/>
      <c r="C864" s="24"/>
      <c r="D864" s="20" t="str">
        <f aca="false">IF(C864="","",IF(COUNTIF(ตั้งค่า!$A$7:$A$18,C864)&gt;0,"รายรับ",IF(COUNTIF(ตั้งค่า!$C$7:$C$31,C864)&gt;0,"รายจ่าย","ไม่พบหมวดหมู่")))</f>
        <v/>
      </c>
      <c r="E864" s="25"/>
      <c r="F864" s="24"/>
      <c r="G864" s="24"/>
      <c r="H864" s="21" t="n">
        <f aca="false">IF(OR(E864="",D864&lt;&gt;"รายรับ"),0,E864)</f>
        <v>0</v>
      </c>
      <c r="I864" s="21" t="n">
        <f aca="false">IF(OR(E864="",D864&lt;&gt;"รายจ่าย"),0,E864)</f>
        <v>0</v>
      </c>
      <c r="J864" s="21" t="str">
        <f aca="false">IF(E864="","",ตั้งค่า!$B$4+SUM($H$5:H864)-SUM($I$5:I864))</f>
        <v/>
      </c>
      <c r="K864" s="22" t="str">
        <f aca="false">IF(A864="","",MONTH(A864))</f>
        <v/>
      </c>
      <c r="L864" s="22" t="str">
        <f aca="false">IF(A864="","",YEAR(A864))</f>
        <v/>
      </c>
    </row>
    <row r="865" customFormat="false" ht="15" hidden="false" customHeight="false" outlineLevel="0" collapsed="false">
      <c r="A865" s="23"/>
      <c r="B865" s="24"/>
      <c r="C865" s="24"/>
      <c r="D865" s="20" t="str">
        <f aca="false">IF(C865="","",IF(COUNTIF(ตั้งค่า!$A$7:$A$18,C865)&gt;0,"รายรับ",IF(COUNTIF(ตั้งค่า!$C$7:$C$31,C865)&gt;0,"รายจ่าย","ไม่พบหมวดหมู่")))</f>
        <v/>
      </c>
      <c r="E865" s="25"/>
      <c r="F865" s="24"/>
      <c r="G865" s="24"/>
      <c r="H865" s="21" t="n">
        <f aca="false">IF(OR(E865="",D865&lt;&gt;"รายรับ"),0,E865)</f>
        <v>0</v>
      </c>
      <c r="I865" s="21" t="n">
        <f aca="false">IF(OR(E865="",D865&lt;&gt;"รายจ่าย"),0,E865)</f>
        <v>0</v>
      </c>
      <c r="J865" s="21" t="str">
        <f aca="false">IF(E865="","",ตั้งค่า!$B$4+SUM($H$5:H865)-SUM($I$5:I865))</f>
        <v/>
      </c>
      <c r="K865" s="22" t="str">
        <f aca="false">IF(A865="","",MONTH(A865))</f>
        <v/>
      </c>
      <c r="L865" s="22" t="str">
        <f aca="false">IF(A865="","",YEAR(A865))</f>
        <v/>
      </c>
    </row>
    <row r="866" customFormat="false" ht="15" hidden="false" customHeight="false" outlineLevel="0" collapsed="false">
      <c r="A866" s="23"/>
      <c r="B866" s="24"/>
      <c r="C866" s="24"/>
      <c r="D866" s="20" t="str">
        <f aca="false">IF(C866="","",IF(COUNTIF(ตั้งค่า!$A$7:$A$18,C866)&gt;0,"รายรับ",IF(COUNTIF(ตั้งค่า!$C$7:$C$31,C866)&gt;0,"รายจ่าย","ไม่พบหมวดหมู่")))</f>
        <v/>
      </c>
      <c r="E866" s="25"/>
      <c r="F866" s="24"/>
      <c r="G866" s="24"/>
      <c r="H866" s="21" t="n">
        <f aca="false">IF(OR(E866="",D866&lt;&gt;"รายรับ"),0,E866)</f>
        <v>0</v>
      </c>
      <c r="I866" s="21" t="n">
        <f aca="false">IF(OR(E866="",D866&lt;&gt;"รายจ่าย"),0,E866)</f>
        <v>0</v>
      </c>
      <c r="J866" s="21" t="str">
        <f aca="false">IF(E866="","",ตั้งค่า!$B$4+SUM($H$5:H866)-SUM($I$5:I866))</f>
        <v/>
      </c>
      <c r="K866" s="22" t="str">
        <f aca="false">IF(A866="","",MONTH(A866))</f>
        <v/>
      </c>
      <c r="L866" s="22" t="str">
        <f aca="false">IF(A866="","",YEAR(A866))</f>
        <v/>
      </c>
    </row>
    <row r="867" customFormat="false" ht="15" hidden="false" customHeight="false" outlineLevel="0" collapsed="false">
      <c r="A867" s="23"/>
      <c r="B867" s="24"/>
      <c r="C867" s="24"/>
      <c r="D867" s="20" t="str">
        <f aca="false">IF(C867="","",IF(COUNTIF(ตั้งค่า!$A$7:$A$18,C867)&gt;0,"รายรับ",IF(COUNTIF(ตั้งค่า!$C$7:$C$31,C867)&gt;0,"รายจ่าย","ไม่พบหมวดหมู่")))</f>
        <v/>
      </c>
      <c r="E867" s="25"/>
      <c r="F867" s="24"/>
      <c r="G867" s="24"/>
      <c r="H867" s="21" t="n">
        <f aca="false">IF(OR(E867="",D867&lt;&gt;"รายรับ"),0,E867)</f>
        <v>0</v>
      </c>
      <c r="I867" s="21" t="n">
        <f aca="false">IF(OR(E867="",D867&lt;&gt;"รายจ่าย"),0,E867)</f>
        <v>0</v>
      </c>
      <c r="J867" s="21" t="str">
        <f aca="false">IF(E867="","",ตั้งค่า!$B$4+SUM($H$5:H867)-SUM($I$5:I867))</f>
        <v/>
      </c>
      <c r="K867" s="22" t="str">
        <f aca="false">IF(A867="","",MONTH(A867))</f>
        <v/>
      </c>
      <c r="L867" s="22" t="str">
        <f aca="false">IF(A867="","",YEAR(A867))</f>
        <v/>
      </c>
    </row>
    <row r="868" customFormat="false" ht="15" hidden="false" customHeight="false" outlineLevel="0" collapsed="false">
      <c r="A868" s="23"/>
      <c r="B868" s="24"/>
      <c r="C868" s="24"/>
      <c r="D868" s="20" t="str">
        <f aca="false">IF(C868="","",IF(COUNTIF(ตั้งค่า!$A$7:$A$18,C868)&gt;0,"รายรับ",IF(COUNTIF(ตั้งค่า!$C$7:$C$31,C868)&gt;0,"รายจ่าย","ไม่พบหมวดหมู่")))</f>
        <v/>
      </c>
      <c r="E868" s="25"/>
      <c r="F868" s="24"/>
      <c r="G868" s="24"/>
      <c r="H868" s="21" t="n">
        <f aca="false">IF(OR(E868="",D868&lt;&gt;"รายรับ"),0,E868)</f>
        <v>0</v>
      </c>
      <c r="I868" s="21" t="n">
        <f aca="false">IF(OR(E868="",D868&lt;&gt;"รายจ่าย"),0,E868)</f>
        <v>0</v>
      </c>
      <c r="J868" s="21" t="str">
        <f aca="false">IF(E868="","",ตั้งค่า!$B$4+SUM($H$5:H868)-SUM($I$5:I868))</f>
        <v/>
      </c>
      <c r="K868" s="22" t="str">
        <f aca="false">IF(A868="","",MONTH(A868))</f>
        <v/>
      </c>
      <c r="L868" s="22" t="str">
        <f aca="false">IF(A868="","",YEAR(A868))</f>
        <v/>
      </c>
    </row>
    <row r="869" customFormat="false" ht="15" hidden="false" customHeight="false" outlineLevel="0" collapsed="false">
      <c r="A869" s="23"/>
      <c r="B869" s="24"/>
      <c r="C869" s="24"/>
      <c r="D869" s="20" t="str">
        <f aca="false">IF(C869="","",IF(COUNTIF(ตั้งค่า!$A$7:$A$18,C869)&gt;0,"รายรับ",IF(COUNTIF(ตั้งค่า!$C$7:$C$31,C869)&gt;0,"รายจ่าย","ไม่พบหมวดหมู่")))</f>
        <v/>
      </c>
      <c r="E869" s="25"/>
      <c r="F869" s="24"/>
      <c r="G869" s="24"/>
      <c r="H869" s="21" t="n">
        <f aca="false">IF(OR(E869="",D869&lt;&gt;"รายรับ"),0,E869)</f>
        <v>0</v>
      </c>
      <c r="I869" s="21" t="n">
        <f aca="false">IF(OR(E869="",D869&lt;&gt;"รายจ่าย"),0,E869)</f>
        <v>0</v>
      </c>
      <c r="J869" s="21" t="str">
        <f aca="false">IF(E869="","",ตั้งค่า!$B$4+SUM($H$5:H869)-SUM($I$5:I869))</f>
        <v/>
      </c>
      <c r="K869" s="22" t="str">
        <f aca="false">IF(A869="","",MONTH(A869))</f>
        <v/>
      </c>
      <c r="L869" s="22" t="str">
        <f aca="false">IF(A869="","",YEAR(A869))</f>
        <v/>
      </c>
    </row>
    <row r="870" customFormat="false" ht="15" hidden="false" customHeight="false" outlineLevel="0" collapsed="false">
      <c r="A870" s="23"/>
      <c r="B870" s="24"/>
      <c r="C870" s="24"/>
      <c r="D870" s="20" t="str">
        <f aca="false">IF(C870="","",IF(COUNTIF(ตั้งค่า!$A$7:$A$18,C870)&gt;0,"รายรับ",IF(COUNTIF(ตั้งค่า!$C$7:$C$31,C870)&gt;0,"รายจ่าย","ไม่พบหมวดหมู่")))</f>
        <v/>
      </c>
      <c r="E870" s="25"/>
      <c r="F870" s="24"/>
      <c r="G870" s="24"/>
      <c r="H870" s="21" t="n">
        <f aca="false">IF(OR(E870="",D870&lt;&gt;"รายรับ"),0,E870)</f>
        <v>0</v>
      </c>
      <c r="I870" s="21" t="n">
        <f aca="false">IF(OR(E870="",D870&lt;&gt;"รายจ่าย"),0,E870)</f>
        <v>0</v>
      </c>
      <c r="J870" s="21" t="str">
        <f aca="false">IF(E870="","",ตั้งค่า!$B$4+SUM($H$5:H870)-SUM($I$5:I870))</f>
        <v/>
      </c>
      <c r="K870" s="22" t="str">
        <f aca="false">IF(A870="","",MONTH(A870))</f>
        <v/>
      </c>
      <c r="L870" s="22" t="str">
        <f aca="false">IF(A870="","",YEAR(A870))</f>
        <v/>
      </c>
    </row>
    <row r="871" customFormat="false" ht="15" hidden="false" customHeight="false" outlineLevel="0" collapsed="false">
      <c r="A871" s="23"/>
      <c r="B871" s="24"/>
      <c r="C871" s="24"/>
      <c r="D871" s="20" t="str">
        <f aca="false">IF(C871="","",IF(COUNTIF(ตั้งค่า!$A$7:$A$18,C871)&gt;0,"รายรับ",IF(COUNTIF(ตั้งค่า!$C$7:$C$31,C871)&gt;0,"รายจ่าย","ไม่พบหมวดหมู่")))</f>
        <v/>
      </c>
      <c r="E871" s="25"/>
      <c r="F871" s="24"/>
      <c r="G871" s="24"/>
      <c r="H871" s="21" t="n">
        <f aca="false">IF(OR(E871="",D871&lt;&gt;"รายรับ"),0,E871)</f>
        <v>0</v>
      </c>
      <c r="I871" s="21" t="n">
        <f aca="false">IF(OR(E871="",D871&lt;&gt;"รายจ่าย"),0,E871)</f>
        <v>0</v>
      </c>
      <c r="J871" s="21" t="str">
        <f aca="false">IF(E871="","",ตั้งค่า!$B$4+SUM($H$5:H871)-SUM($I$5:I871))</f>
        <v/>
      </c>
      <c r="K871" s="22" t="str">
        <f aca="false">IF(A871="","",MONTH(A871))</f>
        <v/>
      </c>
      <c r="L871" s="22" t="str">
        <f aca="false">IF(A871="","",YEAR(A871))</f>
        <v/>
      </c>
    </row>
    <row r="872" customFormat="false" ht="15" hidden="false" customHeight="false" outlineLevel="0" collapsed="false">
      <c r="A872" s="23"/>
      <c r="B872" s="24"/>
      <c r="C872" s="24"/>
      <c r="D872" s="20" t="str">
        <f aca="false">IF(C872="","",IF(COUNTIF(ตั้งค่า!$A$7:$A$18,C872)&gt;0,"รายรับ",IF(COUNTIF(ตั้งค่า!$C$7:$C$31,C872)&gt;0,"รายจ่าย","ไม่พบหมวดหมู่")))</f>
        <v/>
      </c>
      <c r="E872" s="25"/>
      <c r="F872" s="24"/>
      <c r="G872" s="24"/>
      <c r="H872" s="21" t="n">
        <f aca="false">IF(OR(E872="",D872&lt;&gt;"รายรับ"),0,E872)</f>
        <v>0</v>
      </c>
      <c r="I872" s="21" t="n">
        <f aca="false">IF(OR(E872="",D872&lt;&gt;"รายจ่าย"),0,E872)</f>
        <v>0</v>
      </c>
      <c r="J872" s="21" t="str">
        <f aca="false">IF(E872="","",ตั้งค่า!$B$4+SUM($H$5:H872)-SUM($I$5:I872))</f>
        <v/>
      </c>
      <c r="K872" s="22" t="str">
        <f aca="false">IF(A872="","",MONTH(A872))</f>
        <v/>
      </c>
      <c r="L872" s="22" t="str">
        <f aca="false">IF(A872="","",YEAR(A872))</f>
        <v/>
      </c>
    </row>
    <row r="873" customFormat="false" ht="15" hidden="false" customHeight="false" outlineLevel="0" collapsed="false">
      <c r="A873" s="23"/>
      <c r="B873" s="24"/>
      <c r="C873" s="24"/>
      <c r="D873" s="20" t="str">
        <f aca="false">IF(C873="","",IF(COUNTIF(ตั้งค่า!$A$7:$A$18,C873)&gt;0,"รายรับ",IF(COUNTIF(ตั้งค่า!$C$7:$C$31,C873)&gt;0,"รายจ่าย","ไม่พบหมวดหมู่")))</f>
        <v/>
      </c>
      <c r="E873" s="25"/>
      <c r="F873" s="24"/>
      <c r="G873" s="24"/>
      <c r="H873" s="21" t="n">
        <f aca="false">IF(OR(E873="",D873&lt;&gt;"รายรับ"),0,E873)</f>
        <v>0</v>
      </c>
      <c r="I873" s="21" t="n">
        <f aca="false">IF(OR(E873="",D873&lt;&gt;"รายจ่าย"),0,E873)</f>
        <v>0</v>
      </c>
      <c r="J873" s="21" t="str">
        <f aca="false">IF(E873="","",ตั้งค่า!$B$4+SUM($H$5:H873)-SUM($I$5:I873))</f>
        <v/>
      </c>
      <c r="K873" s="22" t="str">
        <f aca="false">IF(A873="","",MONTH(A873))</f>
        <v/>
      </c>
      <c r="L873" s="22" t="str">
        <f aca="false">IF(A873="","",YEAR(A873))</f>
        <v/>
      </c>
    </row>
    <row r="874" customFormat="false" ht="15" hidden="false" customHeight="false" outlineLevel="0" collapsed="false">
      <c r="A874" s="23"/>
      <c r="B874" s="24"/>
      <c r="C874" s="24"/>
      <c r="D874" s="20" t="str">
        <f aca="false">IF(C874="","",IF(COUNTIF(ตั้งค่า!$A$7:$A$18,C874)&gt;0,"รายรับ",IF(COUNTIF(ตั้งค่า!$C$7:$C$31,C874)&gt;0,"รายจ่าย","ไม่พบหมวดหมู่")))</f>
        <v/>
      </c>
      <c r="E874" s="25"/>
      <c r="F874" s="24"/>
      <c r="G874" s="24"/>
      <c r="H874" s="21" t="n">
        <f aca="false">IF(OR(E874="",D874&lt;&gt;"รายรับ"),0,E874)</f>
        <v>0</v>
      </c>
      <c r="I874" s="21" t="n">
        <f aca="false">IF(OR(E874="",D874&lt;&gt;"รายจ่าย"),0,E874)</f>
        <v>0</v>
      </c>
      <c r="J874" s="21" t="str">
        <f aca="false">IF(E874="","",ตั้งค่า!$B$4+SUM($H$5:H874)-SUM($I$5:I874))</f>
        <v/>
      </c>
      <c r="K874" s="22" t="str">
        <f aca="false">IF(A874="","",MONTH(A874))</f>
        <v/>
      </c>
      <c r="L874" s="22" t="str">
        <f aca="false">IF(A874="","",YEAR(A874))</f>
        <v/>
      </c>
    </row>
    <row r="875" customFormat="false" ht="15" hidden="false" customHeight="false" outlineLevel="0" collapsed="false">
      <c r="A875" s="23"/>
      <c r="B875" s="24"/>
      <c r="C875" s="24"/>
      <c r="D875" s="20" t="str">
        <f aca="false">IF(C875="","",IF(COUNTIF(ตั้งค่า!$A$7:$A$18,C875)&gt;0,"รายรับ",IF(COUNTIF(ตั้งค่า!$C$7:$C$31,C875)&gt;0,"รายจ่าย","ไม่พบหมวดหมู่")))</f>
        <v/>
      </c>
      <c r="E875" s="25"/>
      <c r="F875" s="24"/>
      <c r="G875" s="24"/>
      <c r="H875" s="21" t="n">
        <f aca="false">IF(OR(E875="",D875&lt;&gt;"รายรับ"),0,E875)</f>
        <v>0</v>
      </c>
      <c r="I875" s="21" t="n">
        <f aca="false">IF(OR(E875="",D875&lt;&gt;"รายจ่าย"),0,E875)</f>
        <v>0</v>
      </c>
      <c r="J875" s="21" t="str">
        <f aca="false">IF(E875="","",ตั้งค่า!$B$4+SUM($H$5:H875)-SUM($I$5:I875))</f>
        <v/>
      </c>
      <c r="K875" s="22" t="str">
        <f aca="false">IF(A875="","",MONTH(A875))</f>
        <v/>
      </c>
      <c r="L875" s="22" t="str">
        <f aca="false">IF(A875="","",YEAR(A875))</f>
        <v/>
      </c>
    </row>
    <row r="876" customFormat="false" ht="15" hidden="false" customHeight="false" outlineLevel="0" collapsed="false">
      <c r="A876" s="23"/>
      <c r="B876" s="24"/>
      <c r="C876" s="24"/>
      <c r="D876" s="20" t="str">
        <f aca="false">IF(C876="","",IF(COUNTIF(ตั้งค่า!$A$7:$A$18,C876)&gt;0,"รายรับ",IF(COUNTIF(ตั้งค่า!$C$7:$C$31,C876)&gt;0,"รายจ่าย","ไม่พบหมวดหมู่")))</f>
        <v/>
      </c>
      <c r="E876" s="25"/>
      <c r="F876" s="24"/>
      <c r="G876" s="24"/>
      <c r="H876" s="21" t="n">
        <f aca="false">IF(OR(E876="",D876&lt;&gt;"รายรับ"),0,E876)</f>
        <v>0</v>
      </c>
      <c r="I876" s="21" t="n">
        <f aca="false">IF(OR(E876="",D876&lt;&gt;"รายจ่าย"),0,E876)</f>
        <v>0</v>
      </c>
      <c r="J876" s="21" t="str">
        <f aca="false">IF(E876="","",ตั้งค่า!$B$4+SUM($H$5:H876)-SUM($I$5:I876))</f>
        <v/>
      </c>
      <c r="K876" s="22" t="str">
        <f aca="false">IF(A876="","",MONTH(A876))</f>
        <v/>
      </c>
      <c r="L876" s="22" t="str">
        <f aca="false">IF(A876="","",YEAR(A876))</f>
        <v/>
      </c>
    </row>
    <row r="877" customFormat="false" ht="15" hidden="false" customHeight="false" outlineLevel="0" collapsed="false">
      <c r="A877" s="23"/>
      <c r="B877" s="24"/>
      <c r="C877" s="24"/>
      <c r="D877" s="20" t="str">
        <f aca="false">IF(C877="","",IF(COUNTIF(ตั้งค่า!$A$7:$A$18,C877)&gt;0,"รายรับ",IF(COUNTIF(ตั้งค่า!$C$7:$C$31,C877)&gt;0,"รายจ่าย","ไม่พบหมวดหมู่")))</f>
        <v/>
      </c>
      <c r="E877" s="25"/>
      <c r="F877" s="24"/>
      <c r="G877" s="24"/>
      <c r="H877" s="21" t="n">
        <f aca="false">IF(OR(E877="",D877&lt;&gt;"รายรับ"),0,E877)</f>
        <v>0</v>
      </c>
      <c r="I877" s="21" t="n">
        <f aca="false">IF(OR(E877="",D877&lt;&gt;"รายจ่าย"),0,E877)</f>
        <v>0</v>
      </c>
      <c r="J877" s="21" t="str">
        <f aca="false">IF(E877="","",ตั้งค่า!$B$4+SUM($H$5:H877)-SUM($I$5:I877))</f>
        <v/>
      </c>
      <c r="K877" s="22" t="str">
        <f aca="false">IF(A877="","",MONTH(A877))</f>
        <v/>
      </c>
      <c r="L877" s="22" t="str">
        <f aca="false">IF(A877="","",YEAR(A877))</f>
        <v/>
      </c>
    </row>
    <row r="878" customFormat="false" ht="15" hidden="false" customHeight="false" outlineLevel="0" collapsed="false">
      <c r="A878" s="23"/>
      <c r="B878" s="24"/>
      <c r="C878" s="24"/>
      <c r="D878" s="20" t="str">
        <f aca="false">IF(C878="","",IF(COUNTIF(ตั้งค่า!$A$7:$A$18,C878)&gt;0,"รายรับ",IF(COUNTIF(ตั้งค่า!$C$7:$C$31,C878)&gt;0,"รายจ่าย","ไม่พบหมวดหมู่")))</f>
        <v/>
      </c>
      <c r="E878" s="25"/>
      <c r="F878" s="24"/>
      <c r="G878" s="24"/>
      <c r="H878" s="21" t="n">
        <f aca="false">IF(OR(E878="",D878&lt;&gt;"รายรับ"),0,E878)</f>
        <v>0</v>
      </c>
      <c r="I878" s="21" t="n">
        <f aca="false">IF(OR(E878="",D878&lt;&gt;"รายจ่าย"),0,E878)</f>
        <v>0</v>
      </c>
      <c r="J878" s="21" t="str">
        <f aca="false">IF(E878="","",ตั้งค่า!$B$4+SUM($H$5:H878)-SUM($I$5:I878))</f>
        <v/>
      </c>
      <c r="K878" s="22" t="str">
        <f aca="false">IF(A878="","",MONTH(A878))</f>
        <v/>
      </c>
      <c r="L878" s="22" t="str">
        <f aca="false">IF(A878="","",YEAR(A878))</f>
        <v/>
      </c>
    </row>
    <row r="879" customFormat="false" ht="15" hidden="false" customHeight="false" outlineLevel="0" collapsed="false">
      <c r="A879" s="23"/>
      <c r="B879" s="24"/>
      <c r="C879" s="24"/>
      <c r="D879" s="20" t="str">
        <f aca="false">IF(C879="","",IF(COUNTIF(ตั้งค่า!$A$7:$A$18,C879)&gt;0,"รายรับ",IF(COUNTIF(ตั้งค่า!$C$7:$C$31,C879)&gt;0,"รายจ่าย","ไม่พบหมวดหมู่")))</f>
        <v/>
      </c>
      <c r="E879" s="25"/>
      <c r="F879" s="24"/>
      <c r="G879" s="24"/>
      <c r="H879" s="21" t="n">
        <f aca="false">IF(OR(E879="",D879&lt;&gt;"รายรับ"),0,E879)</f>
        <v>0</v>
      </c>
      <c r="I879" s="21" t="n">
        <f aca="false">IF(OR(E879="",D879&lt;&gt;"รายจ่าย"),0,E879)</f>
        <v>0</v>
      </c>
      <c r="J879" s="21" t="str">
        <f aca="false">IF(E879="","",ตั้งค่า!$B$4+SUM($H$5:H879)-SUM($I$5:I879))</f>
        <v/>
      </c>
      <c r="K879" s="22" t="str">
        <f aca="false">IF(A879="","",MONTH(A879))</f>
        <v/>
      </c>
      <c r="L879" s="22" t="str">
        <f aca="false">IF(A879="","",YEAR(A879))</f>
        <v/>
      </c>
    </row>
    <row r="880" customFormat="false" ht="15" hidden="false" customHeight="false" outlineLevel="0" collapsed="false">
      <c r="A880" s="23"/>
      <c r="B880" s="24"/>
      <c r="C880" s="24"/>
      <c r="D880" s="20" t="str">
        <f aca="false">IF(C880="","",IF(COUNTIF(ตั้งค่า!$A$7:$A$18,C880)&gt;0,"รายรับ",IF(COUNTIF(ตั้งค่า!$C$7:$C$31,C880)&gt;0,"รายจ่าย","ไม่พบหมวดหมู่")))</f>
        <v/>
      </c>
      <c r="E880" s="25"/>
      <c r="F880" s="24"/>
      <c r="G880" s="24"/>
      <c r="H880" s="21" t="n">
        <f aca="false">IF(OR(E880="",D880&lt;&gt;"รายรับ"),0,E880)</f>
        <v>0</v>
      </c>
      <c r="I880" s="21" t="n">
        <f aca="false">IF(OR(E880="",D880&lt;&gt;"รายจ่าย"),0,E880)</f>
        <v>0</v>
      </c>
      <c r="J880" s="21" t="str">
        <f aca="false">IF(E880="","",ตั้งค่า!$B$4+SUM($H$5:H880)-SUM($I$5:I880))</f>
        <v/>
      </c>
      <c r="K880" s="22" t="str">
        <f aca="false">IF(A880="","",MONTH(A880))</f>
        <v/>
      </c>
      <c r="L880" s="22" t="str">
        <f aca="false">IF(A880="","",YEAR(A880))</f>
        <v/>
      </c>
    </row>
    <row r="881" customFormat="false" ht="15" hidden="false" customHeight="false" outlineLevel="0" collapsed="false">
      <c r="A881" s="23"/>
      <c r="B881" s="24"/>
      <c r="C881" s="24"/>
      <c r="D881" s="20" t="str">
        <f aca="false">IF(C881="","",IF(COUNTIF(ตั้งค่า!$A$7:$A$18,C881)&gt;0,"รายรับ",IF(COUNTIF(ตั้งค่า!$C$7:$C$31,C881)&gt;0,"รายจ่าย","ไม่พบหมวดหมู่")))</f>
        <v/>
      </c>
      <c r="E881" s="25"/>
      <c r="F881" s="24"/>
      <c r="G881" s="24"/>
      <c r="H881" s="21" t="n">
        <f aca="false">IF(OR(E881="",D881&lt;&gt;"รายรับ"),0,E881)</f>
        <v>0</v>
      </c>
      <c r="I881" s="21" t="n">
        <f aca="false">IF(OR(E881="",D881&lt;&gt;"รายจ่าย"),0,E881)</f>
        <v>0</v>
      </c>
      <c r="J881" s="21" t="str">
        <f aca="false">IF(E881="","",ตั้งค่า!$B$4+SUM($H$5:H881)-SUM($I$5:I881))</f>
        <v/>
      </c>
      <c r="K881" s="22" t="str">
        <f aca="false">IF(A881="","",MONTH(A881))</f>
        <v/>
      </c>
      <c r="L881" s="22" t="str">
        <f aca="false">IF(A881="","",YEAR(A881))</f>
        <v/>
      </c>
    </row>
    <row r="882" customFormat="false" ht="15" hidden="false" customHeight="false" outlineLevel="0" collapsed="false">
      <c r="A882" s="23"/>
      <c r="B882" s="24"/>
      <c r="C882" s="24"/>
      <c r="D882" s="20" t="str">
        <f aca="false">IF(C882="","",IF(COUNTIF(ตั้งค่า!$A$7:$A$18,C882)&gt;0,"รายรับ",IF(COUNTIF(ตั้งค่า!$C$7:$C$31,C882)&gt;0,"รายจ่าย","ไม่พบหมวดหมู่")))</f>
        <v/>
      </c>
      <c r="E882" s="25"/>
      <c r="F882" s="24"/>
      <c r="G882" s="24"/>
      <c r="H882" s="21" t="n">
        <f aca="false">IF(OR(E882="",D882&lt;&gt;"รายรับ"),0,E882)</f>
        <v>0</v>
      </c>
      <c r="I882" s="21" t="n">
        <f aca="false">IF(OR(E882="",D882&lt;&gt;"รายจ่าย"),0,E882)</f>
        <v>0</v>
      </c>
      <c r="J882" s="21" t="str">
        <f aca="false">IF(E882="","",ตั้งค่า!$B$4+SUM($H$5:H882)-SUM($I$5:I882))</f>
        <v/>
      </c>
      <c r="K882" s="22" t="str">
        <f aca="false">IF(A882="","",MONTH(A882))</f>
        <v/>
      </c>
      <c r="L882" s="22" t="str">
        <f aca="false">IF(A882="","",YEAR(A882))</f>
        <v/>
      </c>
    </row>
    <row r="883" customFormat="false" ht="15" hidden="false" customHeight="false" outlineLevel="0" collapsed="false">
      <c r="A883" s="23"/>
      <c r="B883" s="24"/>
      <c r="C883" s="24"/>
      <c r="D883" s="20" t="str">
        <f aca="false">IF(C883="","",IF(COUNTIF(ตั้งค่า!$A$7:$A$18,C883)&gt;0,"รายรับ",IF(COUNTIF(ตั้งค่า!$C$7:$C$31,C883)&gt;0,"รายจ่าย","ไม่พบหมวดหมู่")))</f>
        <v/>
      </c>
      <c r="E883" s="25"/>
      <c r="F883" s="24"/>
      <c r="G883" s="24"/>
      <c r="H883" s="21" t="n">
        <f aca="false">IF(OR(E883="",D883&lt;&gt;"รายรับ"),0,E883)</f>
        <v>0</v>
      </c>
      <c r="I883" s="21" t="n">
        <f aca="false">IF(OR(E883="",D883&lt;&gt;"รายจ่าย"),0,E883)</f>
        <v>0</v>
      </c>
      <c r="J883" s="21" t="str">
        <f aca="false">IF(E883="","",ตั้งค่า!$B$4+SUM($H$5:H883)-SUM($I$5:I883))</f>
        <v/>
      </c>
      <c r="K883" s="22" t="str">
        <f aca="false">IF(A883="","",MONTH(A883))</f>
        <v/>
      </c>
      <c r="L883" s="22" t="str">
        <f aca="false">IF(A883="","",YEAR(A883))</f>
        <v/>
      </c>
    </row>
    <row r="884" customFormat="false" ht="15" hidden="false" customHeight="false" outlineLevel="0" collapsed="false">
      <c r="A884" s="23"/>
      <c r="B884" s="24"/>
      <c r="C884" s="24"/>
      <c r="D884" s="20" t="str">
        <f aca="false">IF(C884="","",IF(COUNTIF(ตั้งค่า!$A$7:$A$18,C884)&gt;0,"รายรับ",IF(COUNTIF(ตั้งค่า!$C$7:$C$31,C884)&gt;0,"รายจ่าย","ไม่พบหมวดหมู่")))</f>
        <v/>
      </c>
      <c r="E884" s="25"/>
      <c r="F884" s="24"/>
      <c r="G884" s="24"/>
      <c r="H884" s="21" t="n">
        <f aca="false">IF(OR(E884="",D884&lt;&gt;"รายรับ"),0,E884)</f>
        <v>0</v>
      </c>
      <c r="I884" s="21" t="n">
        <f aca="false">IF(OR(E884="",D884&lt;&gt;"รายจ่าย"),0,E884)</f>
        <v>0</v>
      </c>
      <c r="J884" s="21" t="str">
        <f aca="false">IF(E884="","",ตั้งค่า!$B$4+SUM($H$5:H884)-SUM($I$5:I884))</f>
        <v/>
      </c>
      <c r="K884" s="22" t="str">
        <f aca="false">IF(A884="","",MONTH(A884))</f>
        <v/>
      </c>
      <c r="L884" s="22" t="str">
        <f aca="false">IF(A884="","",YEAR(A884))</f>
        <v/>
      </c>
    </row>
    <row r="885" customFormat="false" ht="15" hidden="false" customHeight="false" outlineLevel="0" collapsed="false">
      <c r="A885" s="23"/>
      <c r="B885" s="24"/>
      <c r="C885" s="24"/>
      <c r="D885" s="20" t="str">
        <f aca="false">IF(C885="","",IF(COUNTIF(ตั้งค่า!$A$7:$A$18,C885)&gt;0,"รายรับ",IF(COUNTIF(ตั้งค่า!$C$7:$C$31,C885)&gt;0,"รายจ่าย","ไม่พบหมวดหมู่")))</f>
        <v/>
      </c>
      <c r="E885" s="25"/>
      <c r="F885" s="24"/>
      <c r="G885" s="24"/>
      <c r="H885" s="21" t="n">
        <f aca="false">IF(OR(E885="",D885&lt;&gt;"รายรับ"),0,E885)</f>
        <v>0</v>
      </c>
      <c r="I885" s="21" t="n">
        <f aca="false">IF(OR(E885="",D885&lt;&gt;"รายจ่าย"),0,E885)</f>
        <v>0</v>
      </c>
      <c r="J885" s="21" t="str">
        <f aca="false">IF(E885="","",ตั้งค่า!$B$4+SUM($H$5:H885)-SUM($I$5:I885))</f>
        <v/>
      </c>
      <c r="K885" s="22" t="str">
        <f aca="false">IF(A885="","",MONTH(A885))</f>
        <v/>
      </c>
      <c r="L885" s="22" t="str">
        <f aca="false">IF(A885="","",YEAR(A885))</f>
        <v/>
      </c>
    </row>
    <row r="886" customFormat="false" ht="15" hidden="false" customHeight="false" outlineLevel="0" collapsed="false">
      <c r="A886" s="23"/>
      <c r="B886" s="24"/>
      <c r="C886" s="24"/>
      <c r="D886" s="20" t="str">
        <f aca="false">IF(C886="","",IF(COUNTIF(ตั้งค่า!$A$7:$A$18,C886)&gt;0,"รายรับ",IF(COUNTIF(ตั้งค่า!$C$7:$C$31,C886)&gt;0,"รายจ่าย","ไม่พบหมวดหมู่")))</f>
        <v/>
      </c>
      <c r="E886" s="25"/>
      <c r="F886" s="24"/>
      <c r="G886" s="24"/>
      <c r="H886" s="21" t="n">
        <f aca="false">IF(OR(E886="",D886&lt;&gt;"รายรับ"),0,E886)</f>
        <v>0</v>
      </c>
      <c r="I886" s="21" t="n">
        <f aca="false">IF(OR(E886="",D886&lt;&gt;"รายจ่าย"),0,E886)</f>
        <v>0</v>
      </c>
      <c r="J886" s="21" t="str">
        <f aca="false">IF(E886="","",ตั้งค่า!$B$4+SUM($H$5:H886)-SUM($I$5:I886))</f>
        <v/>
      </c>
      <c r="K886" s="22" t="str">
        <f aca="false">IF(A886="","",MONTH(A886))</f>
        <v/>
      </c>
      <c r="L886" s="22" t="str">
        <f aca="false">IF(A886="","",YEAR(A886))</f>
        <v/>
      </c>
    </row>
    <row r="887" customFormat="false" ht="15" hidden="false" customHeight="false" outlineLevel="0" collapsed="false">
      <c r="A887" s="23"/>
      <c r="B887" s="24"/>
      <c r="C887" s="24"/>
      <c r="D887" s="20" t="str">
        <f aca="false">IF(C887="","",IF(COUNTIF(ตั้งค่า!$A$7:$A$18,C887)&gt;0,"รายรับ",IF(COUNTIF(ตั้งค่า!$C$7:$C$31,C887)&gt;0,"รายจ่าย","ไม่พบหมวดหมู่")))</f>
        <v/>
      </c>
      <c r="E887" s="25"/>
      <c r="F887" s="24"/>
      <c r="G887" s="24"/>
      <c r="H887" s="21" t="n">
        <f aca="false">IF(OR(E887="",D887&lt;&gt;"รายรับ"),0,E887)</f>
        <v>0</v>
      </c>
      <c r="I887" s="21" t="n">
        <f aca="false">IF(OR(E887="",D887&lt;&gt;"รายจ่าย"),0,E887)</f>
        <v>0</v>
      </c>
      <c r="J887" s="21" t="str">
        <f aca="false">IF(E887="","",ตั้งค่า!$B$4+SUM($H$5:H887)-SUM($I$5:I887))</f>
        <v/>
      </c>
      <c r="K887" s="22" t="str">
        <f aca="false">IF(A887="","",MONTH(A887))</f>
        <v/>
      </c>
      <c r="L887" s="22" t="str">
        <f aca="false">IF(A887="","",YEAR(A887))</f>
        <v/>
      </c>
    </row>
    <row r="888" customFormat="false" ht="15" hidden="false" customHeight="false" outlineLevel="0" collapsed="false">
      <c r="A888" s="23"/>
      <c r="B888" s="24"/>
      <c r="C888" s="24"/>
      <c r="D888" s="20" t="str">
        <f aca="false">IF(C888="","",IF(COUNTIF(ตั้งค่า!$A$7:$A$18,C888)&gt;0,"รายรับ",IF(COUNTIF(ตั้งค่า!$C$7:$C$31,C888)&gt;0,"รายจ่าย","ไม่พบหมวดหมู่")))</f>
        <v/>
      </c>
      <c r="E888" s="25"/>
      <c r="F888" s="24"/>
      <c r="G888" s="24"/>
      <c r="H888" s="21" t="n">
        <f aca="false">IF(OR(E888="",D888&lt;&gt;"รายรับ"),0,E888)</f>
        <v>0</v>
      </c>
      <c r="I888" s="21" t="n">
        <f aca="false">IF(OR(E888="",D888&lt;&gt;"รายจ่าย"),0,E888)</f>
        <v>0</v>
      </c>
      <c r="J888" s="21" t="str">
        <f aca="false">IF(E888="","",ตั้งค่า!$B$4+SUM($H$5:H888)-SUM($I$5:I888))</f>
        <v/>
      </c>
      <c r="K888" s="22" t="str">
        <f aca="false">IF(A888="","",MONTH(A888))</f>
        <v/>
      </c>
      <c r="L888" s="22" t="str">
        <f aca="false">IF(A888="","",YEAR(A888))</f>
        <v/>
      </c>
    </row>
    <row r="889" customFormat="false" ht="15" hidden="false" customHeight="false" outlineLevel="0" collapsed="false">
      <c r="A889" s="23"/>
      <c r="B889" s="24"/>
      <c r="C889" s="24"/>
      <c r="D889" s="20" t="str">
        <f aca="false">IF(C889="","",IF(COUNTIF(ตั้งค่า!$A$7:$A$18,C889)&gt;0,"รายรับ",IF(COUNTIF(ตั้งค่า!$C$7:$C$31,C889)&gt;0,"รายจ่าย","ไม่พบหมวดหมู่")))</f>
        <v/>
      </c>
      <c r="E889" s="25"/>
      <c r="F889" s="24"/>
      <c r="G889" s="24"/>
      <c r="H889" s="21" t="n">
        <f aca="false">IF(OR(E889="",D889&lt;&gt;"รายรับ"),0,E889)</f>
        <v>0</v>
      </c>
      <c r="I889" s="21" t="n">
        <f aca="false">IF(OR(E889="",D889&lt;&gt;"รายจ่าย"),0,E889)</f>
        <v>0</v>
      </c>
      <c r="J889" s="21" t="str">
        <f aca="false">IF(E889="","",ตั้งค่า!$B$4+SUM($H$5:H889)-SUM($I$5:I889))</f>
        <v/>
      </c>
      <c r="K889" s="22" t="str">
        <f aca="false">IF(A889="","",MONTH(A889))</f>
        <v/>
      </c>
      <c r="L889" s="22" t="str">
        <f aca="false">IF(A889="","",YEAR(A889))</f>
        <v/>
      </c>
    </row>
    <row r="890" customFormat="false" ht="15" hidden="false" customHeight="false" outlineLevel="0" collapsed="false">
      <c r="A890" s="23"/>
      <c r="B890" s="24"/>
      <c r="C890" s="24"/>
      <c r="D890" s="20" t="str">
        <f aca="false">IF(C890="","",IF(COUNTIF(ตั้งค่า!$A$7:$A$18,C890)&gt;0,"รายรับ",IF(COUNTIF(ตั้งค่า!$C$7:$C$31,C890)&gt;0,"รายจ่าย","ไม่พบหมวดหมู่")))</f>
        <v/>
      </c>
      <c r="E890" s="25"/>
      <c r="F890" s="24"/>
      <c r="G890" s="24"/>
      <c r="H890" s="21" t="n">
        <f aca="false">IF(OR(E890="",D890&lt;&gt;"รายรับ"),0,E890)</f>
        <v>0</v>
      </c>
      <c r="I890" s="21" t="n">
        <f aca="false">IF(OR(E890="",D890&lt;&gt;"รายจ่าย"),0,E890)</f>
        <v>0</v>
      </c>
      <c r="J890" s="21" t="str">
        <f aca="false">IF(E890="","",ตั้งค่า!$B$4+SUM($H$5:H890)-SUM($I$5:I890))</f>
        <v/>
      </c>
      <c r="K890" s="22" t="str">
        <f aca="false">IF(A890="","",MONTH(A890))</f>
        <v/>
      </c>
      <c r="L890" s="22" t="str">
        <f aca="false">IF(A890="","",YEAR(A890))</f>
        <v/>
      </c>
    </row>
    <row r="891" customFormat="false" ht="15" hidden="false" customHeight="false" outlineLevel="0" collapsed="false">
      <c r="A891" s="23"/>
      <c r="B891" s="24"/>
      <c r="C891" s="24"/>
      <c r="D891" s="20" t="str">
        <f aca="false">IF(C891="","",IF(COUNTIF(ตั้งค่า!$A$7:$A$18,C891)&gt;0,"รายรับ",IF(COUNTIF(ตั้งค่า!$C$7:$C$31,C891)&gt;0,"รายจ่าย","ไม่พบหมวดหมู่")))</f>
        <v/>
      </c>
      <c r="E891" s="25"/>
      <c r="F891" s="24"/>
      <c r="G891" s="24"/>
      <c r="H891" s="21" t="n">
        <f aca="false">IF(OR(E891="",D891&lt;&gt;"รายรับ"),0,E891)</f>
        <v>0</v>
      </c>
      <c r="I891" s="21" t="n">
        <f aca="false">IF(OR(E891="",D891&lt;&gt;"รายจ่าย"),0,E891)</f>
        <v>0</v>
      </c>
      <c r="J891" s="21" t="str">
        <f aca="false">IF(E891="","",ตั้งค่า!$B$4+SUM($H$5:H891)-SUM($I$5:I891))</f>
        <v/>
      </c>
      <c r="K891" s="22" t="str">
        <f aca="false">IF(A891="","",MONTH(A891))</f>
        <v/>
      </c>
      <c r="L891" s="22" t="str">
        <f aca="false">IF(A891="","",YEAR(A891))</f>
        <v/>
      </c>
    </row>
    <row r="892" customFormat="false" ht="15" hidden="false" customHeight="false" outlineLevel="0" collapsed="false">
      <c r="A892" s="23"/>
      <c r="B892" s="24"/>
      <c r="C892" s="24"/>
      <c r="D892" s="20" t="str">
        <f aca="false">IF(C892="","",IF(COUNTIF(ตั้งค่า!$A$7:$A$18,C892)&gt;0,"รายรับ",IF(COUNTIF(ตั้งค่า!$C$7:$C$31,C892)&gt;0,"รายจ่าย","ไม่พบหมวดหมู่")))</f>
        <v/>
      </c>
      <c r="E892" s="25"/>
      <c r="F892" s="24"/>
      <c r="G892" s="24"/>
      <c r="H892" s="21" t="n">
        <f aca="false">IF(OR(E892="",D892&lt;&gt;"รายรับ"),0,E892)</f>
        <v>0</v>
      </c>
      <c r="I892" s="21" t="n">
        <f aca="false">IF(OR(E892="",D892&lt;&gt;"รายจ่าย"),0,E892)</f>
        <v>0</v>
      </c>
      <c r="J892" s="21" t="str">
        <f aca="false">IF(E892="","",ตั้งค่า!$B$4+SUM($H$5:H892)-SUM($I$5:I892))</f>
        <v/>
      </c>
      <c r="K892" s="22" t="str">
        <f aca="false">IF(A892="","",MONTH(A892))</f>
        <v/>
      </c>
      <c r="L892" s="22" t="str">
        <f aca="false">IF(A892="","",YEAR(A892))</f>
        <v/>
      </c>
    </row>
    <row r="893" customFormat="false" ht="15" hidden="false" customHeight="false" outlineLevel="0" collapsed="false">
      <c r="A893" s="23"/>
      <c r="B893" s="24"/>
      <c r="C893" s="24"/>
      <c r="D893" s="20" t="str">
        <f aca="false">IF(C893="","",IF(COUNTIF(ตั้งค่า!$A$7:$A$18,C893)&gt;0,"รายรับ",IF(COUNTIF(ตั้งค่า!$C$7:$C$31,C893)&gt;0,"รายจ่าย","ไม่พบหมวดหมู่")))</f>
        <v/>
      </c>
      <c r="E893" s="25"/>
      <c r="F893" s="24"/>
      <c r="G893" s="24"/>
      <c r="H893" s="21" t="n">
        <f aca="false">IF(OR(E893="",D893&lt;&gt;"รายรับ"),0,E893)</f>
        <v>0</v>
      </c>
      <c r="I893" s="21" t="n">
        <f aca="false">IF(OR(E893="",D893&lt;&gt;"รายจ่าย"),0,E893)</f>
        <v>0</v>
      </c>
      <c r="J893" s="21" t="str">
        <f aca="false">IF(E893="","",ตั้งค่า!$B$4+SUM($H$5:H893)-SUM($I$5:I893))</f>
        <v/>
      </c>
      <c r="K893" s="22" t="str">
        <f aca="false">IF(A893="","",MONTH(A893))</f>
        <v/>
      </c>
      <c r="L893" s="22" t="str">
        <f aca="false">IF(A893="","",YEAR(A893))</f>
        <v/>
      </c>
    </row>
    <row r="894" customFormat="false" ht="15" hidden="false" customHeight="false" outlineLevel="0" collapsed="false">
      <c r="A894" s="23"/>
      <c r="B894" s="24"/>
      <c r="C894" s="24"/>
      <c r="D894" s="20" t="str">
        <f aca="false">IF(C894="","",IF(COUNTIF(ตั้งค่า!$A$7:$A$18,C894)&gt;0,"รายรับ",IF(COUNTIF(ตั้งค่า!$C$7:$C$31,C894)&gt;0,"รายจ่าย","ไม่พบหมวดหมู่")))</f>
        <v/>
      </c>
      <c r="E894" s="25"/>
      <c r="F894" s="24"/>
      <c r="G894" s="24"/>
      <c r="H894" s="21" t="n">
        <f aca="false">IF(OR(E894="",D894&lt;&gt;"รายรับ"),0,E894)</f>
        <v>0</v>
      </c>
      <c r="I894" s="21" t="n">
        <f aca="false">IF(OR(E894="",D894&lt;&gt;"รายจ่าย"),0,E894)</f>
        <v>0</v>
      </c>
      <c r="J894" s="21" t="str">
        <f aca="false">IF(E894="","",ตั้งค่า!$B$4+SUM($H$5:H894)-SUM($I$5:I894))</f>
        <v/>
      </c>
      <c r="K894" s="22" t="str">
        <f aca="false">IF(A894="","",MONTH(A894))</f>
        <v/>
      </c>
      <c r="L894" s="22" t="str">
        <f aca="false">IF(A894="","",YEAR(A894))</f>
        <v/>
      </c>
    </row>
    <row r="895" customFormat="false" ht="15" hidden="false" customHeight="false" outlineLevel="0" collapsed="false">
      <c r="A895" s="23"/>
      <c r="B895" s="24"/>
      <c r="C895" s="24"/>
      <c r="D895" s="20" t="str">
        <f aca="false">IF(C895="","",IF(COUNTIF(ตั้งค่า!$A$7:$A$18,C895)&gt;0,"รายรับ",IF(COUNTIF(ตั้งค่า!$C$7:$C$31,C895)&gt;0,"รายจ่าย","ไม่พบหมวดหมู่")))</f>
        <v/>
      </c>
      <c r="E895" s="25"/>
      <c r="F895" s="24"/>
      <c r="G895" s="24"/>
      <c r="H895" s="21" t="n">
        <f aca="false">IF(OR(E895="",D895&lt;&gt;"รายรับ"),0,E895)</f>
        <v>0</v>
      </c>
      <c r="I895" s="21" t="n">
        <f aca="false">IF(OR(E895="",D895&lt;&gt;"รายจ่าย"),0,E895)</f>
        <v>0</v>
      </c>
      <c r="J895" s="21" t="str">
        <f aca="false">IF(E895="","",ตั้งค่า!$B$4+SUM($H$5:H895)-SUM($I$5:I895))</f>
        <v/>
      </c>
      <c r="K895" s="22" t="str">
        <f aca="false">IF(A895="","",MONTH(A895))</f>
        <v/>
      </c>
      <c r="L895" s="22" t="str">
        <f aca="false">IF(A895="","",YEAR(A895))</f>
        <v/>
      </c>
    </row>
    <row r="896" customFormat="false" ht="15" hidden="false" customHeight="false" outlineLevel="0" collapsed="false">
      <c r="A896" s="23"/>
      <c r="B896" s="24"/>
      <c r="C896" s="24"/>
      <c r="D896" s="20" t="str">
        <f aca="false">IF(C896="","",IF(COUNTIF(ตั้งค่า!$A$7:$A$18,C896)&gt;0,"รายรับ",IF(COUNTIF(ตั้งค่า!$C$7:$C$31,C896)&gt;0,"รายจ่าย","ไม่พบหมวดหมู่")))</f>
        <v/>
      </c>
      <c r="E896" s="25"/>
      <c r="F896" s="24"/>
      <c r="G896" s="24"/>
      <c r="H896" s="21" t="n">
        <f aca="false">IF(OR(E896="",D896&lt;&gt;"รายรับ"),0,E896)</f>
        <v>0</v>
      </c>
      <c r="I896" s="21" t="n">
        <f aca="false">IF(OR(E896="",D896&lt;&gt;"รายจ่าย"),0,E896)</f>
        <v>0</v>
      </c>
      <c r="J896" s="21" t="str">
        <f aca="false">IF(E896="","",ตั้งค่า!$B$4+SUM($H$5:H896)-SUM($I$5:I896))</f>
        <v/>
      </c>
      <c r="K896" s="22" t="str">
        <f aca="false">IF(A896="","",MONTH(A896))</f>
        <v/>
      </c>
      <c r="L896" s="22" t="str">
        <f aca="false">IF(A896="","",YEAR(A896))</f>
        <v/>
      </c>
    </row>
    <row r="897" customFormat="false" ht="15" hidden="false" customHeight="false" outlineLevel="0" collapsed="false">
      <c r="A897" s="23"/>
      <c r="B897" s="24"/>
      <c r="C897" s="24"/>
      <c r="D897" s="20" t="str">
        <f aca="false">IF(C897="","",IF(COUNTIF(ตั้งค่า!$A$7:$A$18,C897)&gt;0,"รายรับ",IF(COUNTIF(ตั้งค่า!$C$7:$C$31,C897)&gt;0,"รายจ่าย","ไม่พบหมวดหมู่")))</f>
        <v/>
      </c>
      <c r="E897" s="25"/>
      <c r="F897" s="24"/>
      <c r="G897" s="24"/>
      <c r="H897" s="21" t="n">
        <f aca="false">IF(OR(E897="",D897&lt;&gt;"รายรับ"),0,E897)</f>
        <v>0</v>
      </c>
      <c r="I897" s="21" t="n">
        <f aca="false">IF(OR(E897="",D897&lt;&gt;"รายจ่าย"),0,E897)</f>
        <v>0</v>
      </c>
      <c r="J897" s="21" t="str">
        <f aca="false">IF(E897="","",ตั้งค่า!$B$4+SUM($H$5:H897)-SUM($I$5:I897))</f>
        <v/>
      </c>
      <c r="K897" s="22" t="str">
        <f aca="false">IF(A897="","",MONTH(A897))</f>
        <v/>
      </c>
      <c r="L897" s="22" t="str">
        <f aca="false">IF(A897="","",YEAR(A897))</f>
        <v/>
      </c>
    </row>
    <row r="898" customFormat="false" ht="15" hidden="false" customHeight="false" outlineLevel="0" collapsed="false">
      <c r="A898" s="23"/>
      <c r="B898" s="24"/>
      <c r="C898" s="24"/>
      <c r="D898" s="20" t="str">
        <f aca="false">IF(C898="","",IF(COUNTIF(ตั้งค่า!$A$7:$A$18,C898)&gt;0,"รายรับ",IF(COUNTIF(ตั้งค่า!$C$7:$C$31,C898)&gt;0,"รายจ่าย","ไม่พบหมวดหมู่")))</f>
        <v/>
      </c>
      <c r="E898" s="25"/>
      <c r="F898" s="24"/>
      <c r="G898" s="24"/>
      <c r="H898" s="21" t="n">
        <f aca="false">IF(OR(E898="",D898&lt;&gt;"รายรับ"),0,E898)</f>
        <v>0</v>
      </c>
      <c r="I898" s="21" t="n">
        <f aca="false">IF(OR(E898="",D898&lt;&gt;"รายจ่าย"),0,E898)</f>
        <v>0</v>
      </c>
      <c r="J898" s="21" t="str">
        <f aca="false">IF(E898="","",ตั้งค่า!$B$4+SUM($H$5:H898)-SUM($I$5:I898))</f>
        <v/>
      </c>
      <c r="K898" s="22" t="str">
        <f aca="false">IF(A898="","",MONTH(A898))</f>
        <v/>
      </c>
      <c r="L898" s="22" t="str">
        <f aca="false">IF(A898="","",YEAR(A898))</f>
        <v/>
      </c>
    </row>
    <row r="899" customFormat="false" ht="15" hidden="false" customHeight="false" outlineLevel="0" collapsed="false">
      <c r="A899" s="23"/>
      <c r="B899" s="24"/>
      <c r="C899" s="24"/>
      <c r="D899" s="20" t="str">
        <f aca="false">IF(C899="","",IF(COUNTIF(ตั้งค่า!$A$7:$A$18,C899)&gt;0,"รายรับ",IF(COUNTIF(ตั้งค่า!$C$7:$C$31,C899)&gt;0,"รายจ่าย","ไม่พบหมวดหมู่")))</f>
        <v/>
      </c>
      <c r="E899" s="25"/>
      <c r="F899" s="24"/>
      <c r="G899" s="24"/>
      <c r="H899" s="21" t="n">
        <f aca="false">IF(OR(E899="",D899&lt;&gt;"รายรับ"),0,E899)</f>
        <v>0</v>
      </c>
      <c r="I899" s="21" t="n">
        <f aca="false">IF(OR(E899="",D899&lt;&gt;"รายจ่าย"),0,E899)</f>
        <v>0</v>
      </c>
      <c r="J899" s="21" t="str">
        <f aca="false">IF(E899="","",ตั้งค่า!$B$4+SUM($H$5:H899)-SUM($I$5:I899))</f>
        <v/>
      </c>
      <c r="K899" s="22" t="str">
        <f aca="false">IF(A899="","",MONTH(A899))</f>
        <v/>
      </c>
      <c r="L899" s="22" t="str">
        <f aca="false">IF(A899="","",YEAR(A899))</f>
        <v/>
      </c>
    </row>
    <row r="900" customFormat="false" ht="15" hidden="false" customHeight="false" outlineLevel="0" collapsed="false">
      <c r="A900" s="23"/>
      <c r="B900" s="24"/>
      <c r="C900" s="24"/>
      <c r="D900" s="20" t="str">
        <f aca="false">IF(C900="","",IF(COUNTIF(ตั้งค่า!$A$7:$A$18,C900)&gt;0,"รายรับ",IF(COUNTIF(ตั้งค่า!$C$7:$C$31,C900)&gt;0,"รายจ่าย","ไม่พบหมวดหมู่")))</f>
        <v/>
      </c>
      <c r="E900" s="25"/>
      <c r="F900" s="24"/>
      <c r="G900" s="24"/>
      <c r="H900" s="21" t="n">
        <f aca="false">IF(OR(E900="",D900&lt;&gt;"รายรับ"),0,E900)</f>
        <v>0</v>
      </c>
      <c r="I900" s="21" t="n">
        <f aca="false">IF(OR(E900="",D900&lt;&gt;"รายจ่าย"),0,E900)</f>
        <v>0</v>
      </c>
      <c r="J900" s="21" t="str">
        <f aca="false">IF(E900="","",ตั้งค่า!$B$4+SUM($H$5:H900)-SUM($I$5:I900))</f>
        <v/>
      </c>
      <c r="K900" s="22" t="str">
        <f aca="false">IF(A900="","",MONTH(A900))</f>
        <v/>
      </c>
      <c r="L900" s="22" t="str">
        <f aca="false">IF(A900="","",YEAR(A900))</f>
        <v/>
      </c>
    </row>
    <row r="901" customFormat="false" ht="15" hidden="false" customHeight="false" outlineLevel="0" collapsed="false">
      <c r="A901" s="23"/>
      <c r="B901" s="24"/>
      <c r="C901" s="24"/>
      <c r="D901" s="20" t="str">
        <f aca="false">IF(C901="","",IF(COUNTIF(ตั้งค่า!$A$7:$A$18,C901)&gt;0,"รายรับ",IF(COUNTIF(ตั้งค่า!$C$7:$C$31,C901)&gt;0,"รายจ่าย","ไม่พบหมวดหมู่")))</f>
        <v/>
      </c>
      <c r="E901" s="25"/>
      <c r="F901" s="24"/>
      <c r="G901" s="24"/>
      <c r="H901" s="21" t="n">
        <f aca="false">IF(OR(E901="",D901&lt;&gt;"รายรับ"),0,E901)</f>
        <v>0</v>
      </c>
      <c r="I901" s="21" t="n">
        <f aca="false">IF(OR(E901="",D901&lt;&gt;"รายจ่าย"),0,E901)</f>
        <v>0</v>
      </c>
      <c r="J901" s="21" t="str">
        <f aca="false">IF(E901="","",ตั้งค่า!$B$4+SUM($H$5:H901)-SUM($I$5:I901))</f>
        <v/>
      </c>
      <c r="K901" s="22" t="str">
        <f aca="false">IF(A901="","",MONTH(A901))</f>
        <v/>
      </c>
      <c r="L901" s="22" t="str">
        <f aca="false">IF(A901="","",YEAR(A901))</f>
        <v/>
      </c>
    </row>
    <row r="902" customFormat="false" ht="15" hidden="false" customHeight="false" outlineLevel="0" collapsed="false">
      <c r="A902" s="23"/>
      <c r="B902" s="24"/>
      <c r="C902" s="24"/>
      <c r="D902" s="20" t="str">
        <f aca="false">IF(C902="","",IF(COUNTIF(ตั้งค่า!$A$7:$A$18,C902)&gt;0,"รายรับ",IF(COUNTIF(ตั้งค่า!$C$7:$C$31,C902)&gt;0,"รายจ่าย","ไม่พบหมวดหมู่")))</f>
        <v/>
      </c>
      <c r="E902" s="25"/>
      <c r="F902" s="24"/>
      <c r="G902" s="24"/>
      <c r="H902" s="21" t="n">
        <f aca="false">IF(OR(E902="",D902&lt;&gt;"รายรับ"),0,E902)</f>
        <v>0</v>
      </c>
      <c r="I902" s="21" t="n">
        <f aca="false">IF(OR(E902="",D902&lt;&gt;"รายจ่าย"),0,E902)</f>
        <v>0</v>
      </c>
      <c r="J902" s="21" t="str">
        <f aca="false">IF(E902="","",ตั้งค่า!$B$4+SUM($H$5:H902)-SUM($I$5:I902))</f>
        <v/>
      </c>
      <c r="K902" s="22" t="str">
        <f aca="false">IF(A902="","",MONTH(A902))</f>
        <v/>
      </c>
      <c r="L902" s="22" t="str">
        <f aca="false">IF(A902="","",YEAR(A902))</f>
        <v/>
      </c>
    </row>
    <row r="903" customFormat="false" ht="15" hidden="false" customHeight="false" outlineLevel="0" collapsed="false">
      <c r="A903" s="23"/>
      <c r="B903" s="24"/>
      <c r="C903" s="24"/>
      <c r="D903" s="20" t="str">
        <f aca="false">IF(C903="","",IF(COUNTIF(ตั้งค่า!$A$7:$A$18,C903)&gt;0,"รายรับ",IF(COUNTIF(ตั้งค่า!$C$7:$C$31,C903)&gt;0,"รายจ่าย","ไม่พบหมวดหมู่")))</f>
        <v/>
      </c>
      <c r="E903" s="25"/>
      <c r="F903" s="24"/>
      <c r="G903" s="24"/>
      <c r="H903" s="21" t="n">
        <f aca="false">IF(OR(E903="",D903&lt;&gt;"รายรับ"),0,E903)</f>
        <v>0</v>
      </c>
      <c r="I903" s="21" t="n">
        <f aca="false">IF(OR(E903="",D903&lt;&gt;"รายจ่าย"),0,E903)</f>
        <v>0</v>
      </c>
      <c r="J903" s="21" t="str">
        <f aca="false">IF(E903="","",ตั้งค่า!$B$4+SUM($H$5:H903)-SUM($I$5:I903))</f>
        <v/>
      </c>
      <c r="K903" s="22" t="str">
        <f aca="false">IF(A903="","",MONTH(A903))</f>
        <v/>
      </c>
      <c r="L903" s="22" t="str">
        <f aca="false">IF(A903="","",YEAR(A903))</f>
        <v/>
      </c>
    </row>
    <row r="904" customFormat="false" ht="15" hidden="false" customHeight="false" outlineLevel="0" collapsed="false">
      <c r="A904" s="23"/>
      <c r="B904" s="24"/>
      <c r="C904" s="24"/>
      <c r="D904" s="20" t="str">
        <f aca="false">IF(C904="","",IF(COUNTIF(ตั้งค่า!$A$7:$A$18,C904)&gt;0,"รายรับ",IF(COUNTIF(ตั้งค่า!$C$7:$C$31,C904)&gt;0,"รายจ่าย","ไม่พบหมวดหมู่")))</f>
        <v/>
      </c>
      <c r="E904" s="25"/>
      <c r="F904" s="24"/>
      <c r="G904" s="24"/>
      <c r="H904" s="21" t="n">
        <f aca="false">IF(OR(E904="",D904&lt;&gt;"รายรับ"),0,E904)</f>
        <v>0</v>
      </c>
      <c r="I904" s="21" t="n">
        <f aca="false">IF(OR(E904="",D904&lt;&gt;"รายจ่าย"),0,E904)</f>
        <v>0</v>
      </c>
      <c r="J904" s="21" t="str">
        <f aca="false">IF(E904="","",ตั้งค่า!$B$4+SUM($H$5:H904)-SUM($I$5:I904))</f>
        <v/>
      </c>
      <c r="K904" s="22" t="str">
        <f aca="false">IF(A904="","",MONTH(A904))</f>
        <v/>
      </c>
      <c r="L904" s="22" t="str">
        <f aca="false">IF(A904="","",YEAR(A904))</f>
        <v/>
      </c>
    </row>
    <row r="905" customFormat="false" ht="15" hidden="false" customHeight="false" outlineLevel="0" collapsed="false">
      <c r="A905" s="23"/>
      <c r="B905" s="24"/>
      <c r="C905" s="24"/>
      <c r="D905" s="20" t="str">
        <f aca="false">IF(C905="","",IF(COUNTIF(ตั้งค่า!$A$7:$A$18,C905)&gt;0,"รายรับ",IF(COUNTIF(ตั้งค่า!$C$7:$C$31,C905)&gt;0,"รายจ่าย","ไม่พบหมวดหมู่")))</f>
        <v/>
      </c>
      <c r="E905" s="25"/>
      <c r="F905" s="24"/>
      <c r="G905" s="24"/>
      <c r="H905" s="21" t="n">
        <f aca="false">IF(OR(E905="",D905&lt;&gt;"รายรับ"),0,E905)</f>
        <v>0</v>
      </c>
      <c r="I905" s="21" t="n">
        <f aca="false">IF(OR(E905="",D905&lt;&gt;"รายจ่าย"),0,E905)</f>
        <v>0</v>
      </c>
      <c r="J905" s="21" t="str">
        <f aca="false">IF(E905="","",ตั้งค่า!$B$4+SUM($H$5:H905)-SUM($I$5:I905))</f>
        <v/>
      </c>
      <c r="K905" s="22" t="str">
        <f aca="false">IF(A905="","",MONTH(A905))</f>
        <v/>
      </c>
      <c r="L905" s="22" t="str">
        <f aca="false">IF(A905="","",YEAR(A905))</f>
        <v/>
      </c>
    </row>
    <row r="906" customFormat="false" ht="15" hidden="false" customHeight="false" outlineLevel="0" collapsed="false">
      <c r="A906" s="23"/>
      <c r="B906" s="24"/>
      <c r="C906" s="24"/>
      <c r="D906" s="20" t="str">
        <f aca="false">IF(C906="","",IF(COUNTIF(ตั้งค่า!$A$7:$A$18,C906)&gt;0,"รายรับ",IF(COUNTIF(ตั้งค่า!$C$7:$C$31,C906)&gt;0,"รายจ่าย","ไม่พบหมวดหมู่")))</f>
        <v/>
      </c>
      <c r="E906" s="25"/>
      <c r="F906" s="24"/>
      <c r="G906" s="24"/>
      <c r="H906" s="21" t="n">
        <f aca="false">IF(OR(E906="",D906&lt;&gt;"รายรับ"),0,E906)</f>
        <v>0</v>
      </c>
      <c r="I906" s="21" t="n">
        <f aca="false">IF(OR(E906="",D906&lt;&gt;"รายจ่าย"),0,E906)</f>
        <v>0</v>
      </c>
      <c r="J906" s="21" t="str">
        <f aca="false">IF(E906="","",ตั้งค่า!$B$4+SUM($H$5:H906)-SUM($I$5:I906))</f>
        <v/>
      </c>
      <c r="K906" s="22" t="str">
        <f aca="false">IF(A906="","",MONTH(A906))</f>
        <v/>
      </c>
      <c r="L906" s="22" t="str">
        <f aca="false">IF(A906="","",YEAR(A906))</f>
        <v/>
      </c>
    </row>
    <row r="907" customFormat="false" ht="15" hidden="false" customHeight="false" outlineLevel="0" collapsed="false">
      <c r="A907" s="23"/>
      <c r="B907" s="24"/>
      <c r="C907" s="24"/>
      <c r="D907" s="20" t="str">
        <f aca="false">IF(C907="","",IF(COUNTIF(ตั้งค่า!$A$7:$A$18,C907)&gt;0,"รายรับ",IF(COUNTIF(ตั้งค่า!$C$7:$C$31,C907)&gt;0,"รายจ่าย","ไม่พบหมวดหมู่")))</f>
        <v/>
      </c>
      <c r="E907" s="25"/>
      <c r="F907" s="24"/>
      <c r="G907" s="24"/>
      <c r="H907" s="21" t="n">
        <f aca="false">IF(OR(E907="",D907&lt;&gt;"รายรับ"),0,E907)</f>
        <v>0</v>
      </c>
      <c r="I907" s="21" t="n">
        <f aca="false">IF(OR(E907="",D907&lt;&gt;"รายจ่าย"),0,E907)</f>
        <v>0</v>
      </c>
      <c r="J907" s="21" t="str">
        <f aca="false">IF(E907="","",ตั้งค่า!$B$4+SUM($H$5:H907)-SUM($I$5:I907))</f>
        <v/>
      </c>
      <c r="K907" s="22" t="str">
        <f aca="false">IF(A907="","",MONTH(A907))</f>
        <v/>
      </c>
      <c r="L907" s="22" t="str">
        <f aca="false">IF(A907="","",YEAR(A907))</f>
        <v/>
      </c>
    </row>
    <row r="908" customFormat="false" ht="15" hidden="false" customHeight="false" outlineLevel="0" collapsed="false">
      <c r="A908" s="23"/>
      <c r="B908" s="24"/>
      <c r="C908" s="24"/>
      <c r="D908" s="20" t="str">
        <f aca="false">IF(C908="","",IF(COUNTIF(ตั้งค่า!$A$7:$A$18,C908)&gt;0,"รายรับ",IF(COUNTIF(ตั้งค่า!$C$7:$C$31,C908)&gt;0,"รายจ่าย","ไม่พบหมวดหมู่")))</f>
        <v/>
      </c>
      <c r="E908" s="25"/>
      <c r="F908" s="24"/>
      <c r="G908" s="24"/>
      <c r="H908" s="21" t="n">
        <f aca="false">IF(OR(E908="",D908&lt;&gt;"รายรับ"),0,E908)</f>
        <v>0</v>
      </c>
      <c r="I908" s="21" t="n">
        <f aca="false">IF(OR(E908="",D908&lt;&gt;"รายจ่าย"),0,E908)</f>
        <v>0</v>
      </c>
      <c r="J908" s="21" t="str">
        <f aca="false">IF(E908="","",ตั้งค่า!$B$4+SUM($H$5:H908)-SUM($I$5:I908))</f>
        <v/>
      </c>
      <c r="K908" s="22" t="str">
        <f aca="false">IF(A908="","",MONTH(A908))</f>
        <v/>
      </c>
      <c r="L908" s="22" t="str">
        <f aca="false">IF(A908="","",YEAR(A908))</f>
        <v/>
      </c>
    </row>
    <row r="909" customFormat="false" ht="15" hidden="false" customHeight="false" outlineLevel="0" collapsed="false">
      <c r="A909" s="23"/>
      <c r="B909" s="24"/>
      <c r="C909" s="24"/>
      <c r="D909" s="20" t="str">
        <f aca="false">IF(C909="","",IF(COUNTIF(ตั้งค่า!$A$7:$A$18,C909)&gt;0,"รายรับ",IF(COUNTIF(ตั้งค่า!$C$7:$C$31,C909)&gt;0,"รายจ่าย","ไม่พบหมวดหมู่")))</f>
        <v/>
      </c>
      <c r="E909" s="25"/>
      <c r="F909" s="24"/>
      <c r="G909" s="24"/>
      <c r="H909" s="21" t="n">
        <f aca="false">IF(OR(E909="",D909&lt;&gt;"รายรับ"),0,E909)</f>
        <v>0</v>
      </c>
      <c r="I909" s="21" t="n">
        <f aca="false">IF(OR(E909="",D909&lt;&gt;"รายจ่าย"),0,E909)</f>
        <v>0</v>
      </c>
      <c r="J909" s="21" t="str">
        <f aca="false">IF(E909="","",ตั้งค่า!$B$4+SUM($H$5:H909)-SUM($I$5:I909))</f>
        <v/>
      </c>
      <c r="K909" s="22" t="str">
        <f aca="false">IF(A909="","",MONTH(A909))</f>
        <v/>
      </c>
      <c r="L909" s="22" t="str">
        <f aca="false">IF(A909="","",YEAR(A909))</f>
        <v/>
      </c>
    </row>
    <row r="910" customFormat="false" ht="15" hidden="false" customHeight="false" outlineLevel="0" collapsed="false">
      <c r="A910" s="23"/>
      <c r="B910" s="24"/>
      <c r="C910" s="24"/>
      <c r="D910" s="20" t="str">
        <f aca="false">IF(C910="","",IF(COUNTIF(ตั้งค่า!$A$7:$A$18,C910)&gt;0,"รายรับ",IF(COUNTIF(ตั้งค่า!$C$7:$C$31,C910)&gt;0,"รายจ่าย","ไม่พบหมวดหมู่")))</f>
        <v/>
      </c>
      <c r="E910" s="25"/>
      <c r="F910" s="24"/>
      <c r="G910" s="24"/>
      <c r="H910" s="21" t="n">
        <f aca="false">IF(OR(E910="",D910&lt;&gt;"รายรับ"),0,E910)</f>
        <v>0</v>
      </c>
      <c r="I910" s="21" t="n">
        <f aca="false">IF(OR(E910="",D910&lt;&gt;"รายจ่าย"),0,E910)</f>
        <v>0</v>
      </c>
      <c r="J910" s="21" t="str">
        <f aca="false">IF(E910="","",ตั้งค่า!$B$4+SUM($H$5:H910)-SUM($I$5:I910))</f>
        <v/>
      </c>
      <c r="K910" s="22" t="str">
        <f aca="false">IF(A910="","",MONTH(A910))</f>
        <v/>
      </c>
      <c r="L910" s="22" t="str">
        <f aca="false">IF(A910="","",YEAR(A910))</f>
        <v/>
      </c>
    </row>
    <row r="911" customFormat="false" ht="15" hidden="false" customHeight="false" outlineLevel="0" collapsed="false">
      <c r="A911" s="23"/>
      <c r="B911" s="24"/>
      <c r="C911" s="24"/>
      <c r="D911" s="20" t="str">
        <f aca="false">IF(C911="","",IF(COUNTIF(ตั้งค่า!$A$7:$A$18,C911)&gt;0,"รายรับ",IF(COUNTIF(ตั้งค่า!$C$7:$C$31,C911)&gt;0,"รายจ่าย","ไม่พบหมวดหมู่")))</f>
        <v/>
      </c>
      <c r="E911" s="25"/>
      <c r="F911" s="24"/>
      <c r="G911" s="24"/>
      <c r="H911" s="21" t="n">
        <f aca="false">IF(OR(E911="",D911&lt;&gt;"รายรับ"),0,E911)</f>
        <v>0</v>
      </c>
      <c r="I911" s="21" t="n">
        <f aca="false">IF(OR(E911="",D911&lt;&gt;"รายจ่าย"),0,E911)</f>
        <v>0</v>
      </c>
      <c r="J911" s="21" t="str">
        <f aca="false">IF(E911="","",ตั้งค่า!$B$4+SUM($H$5:H911)-SUM($I$5:I911))</f>
        <v/>
      </c>
      <c r="K911" s="22" t="str">
        <f aca="false">IF(A911="","",MONTH(A911))</f>
        <v/>
      </c>
      <c r="L911" s="22" t="str">
        <f aca="false">IF(A911="","",YEAR(A911))</f>
        <v/>
      </c>
    </row>
    <row r="912" customFormat="false" ht="15" hidden="false" customHeight="false" outlineLevel="0" collapsed="false">
      <c r="A912" s="23"/>
      <c r="B912" s="24"/>
      <c r="C912" s="24"/>
      <c r="D912" s="20" t="str">
        <f aca="false">IF(C912="","",IF(COUNTIF(ตั้งค่า!$A$7:$A$18,C912)&gt;0,"รายรับ",IF(COUNTIF(ตั้งค่า!$C$7:$C$31,C912)&gt;0,"รายจ่าย","ไม่พบหมวดหมู่")))</f>
        <v/>
      </c>
      <c r="E912" s="25"/>
      <c r="F912" s="24"/>
      <c r="G912" s="24"/>
      <c r="H912" s="21" t="n">
        <f aca="false">IF(OR(E912="",D912&lt;&gt;"รายรับ"),0,E912)</f>
        <v>0</v>
      </c>
      <c r="I912" s="21" t="n">
        <f aca="false">IF(OR(E912="",D912&lt;&gt;"รายจ่าย"),0,E912)</f>
        <v>0</v>
      </c>
      <c r="J912" s="21" t="str">
        <f aca="false">IF(E912="","",ตั้งค่า!$B$4+SUM($H$5:H912)-SUM($I$5:I912))</f>
        <v/>
      </c>
      <c r="K912" s="22" t="str">
        <f aca="false">IF(A912="","",MONTH(A912))</f>
        <v/>
      </c>
      <c r="L912" s="22" t="str">
        <f aca="false">IF(A912="","",YEAR(A912))</f>
        <v/>
      </c>
    </row>
    <row r="913" customFormat="false" ht="15" hidden="false" customHeight="false" outlineLevel="0" collapsed="false">
      <c r="A913" s="23"/>
      <c r="B913" s="24"/>
      <c r="C913" s="24"/>
      <c r="D913" s="20" t="str">
        <f aca="false">IF(C913="","",IF(COUNTIF(ตั้งค่า!$A$7:$A$18,C913)&gt;0,"รายรับ",IF(COUNTIF(ตั้งค่า!$C$7:$C$31,C913)&gt;0,"รายจ่าย","ไม่พบหมวดหมู่")))</f>
        <v/>
      </c>
      <c r="E913" s="25"/>
      <c r="F913" s="24"/>
      <c r="G913" s="24"/>
      <c r="H913" s="21" t="n">
        <f aca="false">IF(OR(E913="",D913&lt;&gt;"รายรับ"),0,E913)</f>
        <v>0</v>
      </c>
      <c r="I913" s="21" t="n">
        <f aca="false">IF(OR(E913="",D913&lt;&gt;"รายจ่าย"),0,E913)</f>
        <v>0</v>
      </c>
      <c r="J913" s="21" t="str">
        <f aca="false">IF(E913="","",ตั้งค่า!$B$4+SUM($H$5:H913)-SUM($I$5:I913))</f>
        <v/>
      </c>
      <c r="K913" s="22" t="str">
        <f aca="false">IF(A913="","",MONTH(A913))</f>
        <v/>
      </c>
      <c r="L913" s="22" t="str">
        <f aca="false">IF(A913="","",YEAR(A913))</f>
        <v/>
      </c>
    </row>
    <row r="914" customFormat="false" ht="15" hidden="false" customHeight="false" outlineLevel="0" collapsed="false">
      <c r="A914" s="23"/>
      <c r="B914" s="24"/>
      <c r="C914" s="24"/>
      <c r="D914" s="20" t="str">
        <f aca="false">IF(C914="","",IF(COUNTIF(ตั้งค่า!$A$7:$A$18,C914)&gt;0,"รายรับ",IF(COUNTIF(ตั้งค่า!$C$7:$C$31,C914)&gt;0,"รายจ่าย","ไม่พบหมวดหมู่")))</f>
        <v/>
      </c>
      <c r="E914" s="25"/>
      <c r="F914" s="24"/>
      <c r="G914" s="24"/>
      <c r="H914" s="21" t="n">
        <f aca="false">IF(OR(E914="",D914&lt;&gt;"รายรับ"),0,E914)</f>
        <v>0</v>
      </c>
      <c r="I914" s="21" t="n">
        <f aca="false">IF(OR(E914="",D914&lt;&gt;"รายจ่าย"),0,E914)</f>
        <v>0</v>
      </c>
      <c r="J914" s="21" t="str">
        <f aca="false">IF(E914="","",ตั้งค่า!$B$4+SUM($H$5:H914)-SUM($I$5:I914))</f>
        <v/>
      </c>
      <c r="K914" s="22" t="str">
        <f aca="false">IF(A914="","",MONTH(A914))</f>
        <v/>
      </c>
      <c r="L914" s="22" t="str">
        <f aca="false">IF(A914="","",YEAR(A914))</f>
        <v/>
      </c>
    </row>
    <row r="915" customFormat="false" ht="15" hidden="false" customHeight="false" outlineLevel="0" collapsed="false">
      <c r="A915" s="23"/>
      <c r="B915" s="24"/>
      <c r="C915" s="24"/>
      <c r="D915" s="20" t="str">
        <f aca="false">IF(C915="","",IF(COUNTIF(ตั้งค่า!$A$7:$A$18,C915)&gt;0,"รายรับ",IF(COUNTIF(ตั้งค่า!$C$7:$C$31,C915)&gt;0,"รายจ่าย","ไม่พบหมวดหมู่")))</f>
        <v/>
      </c>
      <c r="E915" s="25"/>
      <c r="F915" s="24"/>
      <c r="G915" s="24"/>
      <c r="H915" s="21" t="n">
        <f aca="false">IF(OR(E915="",D915&lt;&gt;"รายรับ"),0,E915)</f>
        <v>0</v>
      </c>
      <c r="I915" s="21" t="n">
        <f aca="false">IF(OR(E915="",D915&lt;&gt;"รายจ่าย"),0,E915)</f>
        <v>0</v>
      </c>
      <c r="J915" s="21" t="str">
        <f aca="false">IF(E915="","",ตั้งค่า!$B$4+SUM($H$5:H915)-SUM($I$5:I915))</f>
        <v/>
      </c>
      <c r="K915" s="22" t="str">
        <f aca="false">IF(A915="","",MONTH(A915))</f>
        <v/>
      </c>
      <c r="L915" s="22" t="str">
        <f aca="false">IF(A915="","",YEAR(A915))</f>
        <v/>
      </c>
    </row>
    <row r="916" customFormat="false" ht="15" hidden="false" customHeight="false" outlineLevel="0" collapsed="false">
      <c r="A916" s="23"/>
      <c r="B916" s="24"/>
      <c r="C916" s="24"/>
      <c r="D916" s="20" t="str">
        <f aca="false">IF(C916="","",IF(COUNTIF(ตั้งค่า!$A$7:$A$18,C916)&gt;0,"รายรับ",IF(COUNTIF(ตั้งค่า!$C$7:$C$31,C916)&gt;0,"รายจ่าย","ไม่พบหมวดหมู่")))</f>
        <v/>
      </c>
      <c r="E916" s="25"/>
      <c r="F916" s="24"/>
      <c r="G916" s="24"/>
      <c r="H916" s="21" t="n">
        <f aca="false">IF(OR(E916="",D916&lt;&gt;"รายรับ"),0,E916)</f>
        <v>0</v>
      </c>
      <c r="I916" s="21" t="n">
        <f aca="false">IF(OR(E916="",D916&lt;&gt;"รายจ่าย"),0,E916)</f>
        <v>0</v>
      </c>
      <c r="J916" s="21" t="str">
        <f aca="false">IF(E916="","",ตั้งค่า!$B$4+SUM($H$5:H916)-SUM($I$5:I916))</f>
        <v/>
      </c>
      <c r="K916" s="22" t="str">
        <f aca="false">IF(A916="","",MONTH(A916))</f>
        <v/>
      </c>
      <c r="L916" s="22" t="str">
        <f aca="false">IF(A916="","",YEAR(A916))</f>
        <v/>
      </c>
    </row>
    <row r="917" customFormat="false" ht="15" hidden="false" customHeight="false" outlineLevel="0" collapsed="false">
      <c r="A917" s="23"/>
      <c r="B917" s="24"/>
      <c r="C917" s="24"/>
      <c r="D917" s="20" t="str">
        <f aca="false">IF(C917="","",IF(COUNTIF(ตั้งค่า!$A$7:$A$18,C917)&gt;0,"รายรับ",IF(COUNTIF(ตั้งค่า!$C$7:$C$31,C917)&gt;0,"รายจ่าย","ไม่พบหมวดหมู่")))</f>
        <v/>
      </c>
      <c r="E917" s="25"/>
      <c r="F917" s="24"/>
      <c r="G917" s="24"/>
      <c r="H917" s="21" t="n">
        <f aca="false">IF(OR(E917="",D917&lt;&gt;"รายรับ"),0,E917)</f>
        <v>0</v>
      </c>
      <c r="I917" s="21" t="n">
        <f aca="false">IF(OR(E917="",D917&lt;&gt;"รายจ่าย"),0,E917)</f>
        <v>0</v>
      </c>
      <c r="J917" s="21" t="str">
        <f aca="false">IF(E917="","",ตั้งค่า!$B$4+SUM($H$5:H917)-SUM($I$5:I917))</f>
        <v/>
      </c>
      <c r="K917" s="22" t="str">
        <f aca="false">IF(A917="","",MONTH(A917))</f>
        <v/>
      </c>
      <c r="L917" s="22" t="str">
        <f aca="false">IF(A917="","",YEAR(A917))</f>
        <v/>
      </c>
    </row>
    <row r="918" customFormat="false" ht="15" hidden="false" customHeight="false" outlineLevel="0" collapsed="false">
      <c r="A918" s="23"/>
      <c r="B918" s="24"/>
      <c r="C918" s="24"/>
      <c r="D918" s="20" t="str">
        <f aca="false">IF(C918="","",IF(COUNTIF(ตั้งค่า!$A$7:$A$18,C918)&gt;0,"รายรับ",IF(COUNTIF(ตั้งค่า!$C$7:$C$31,C918)&gt;0,"รายจ่าย","ไม่พบหมวดหมู่")))</f>
        <v/>
      </c>
      <c r="E918" s="25"/>
      <c r="F918" s="24"/>
      <c r="G918" s="24"/>
      <c r="H918" s="21" t="n">
        <f aca="false">IF(OR(E918="",D918&lt;&gt;"รายรับ"),0,E918)</f>
        <v>0</v>
      </c>
      <c r="I918" s="21" t="n">
        <f aca="false">IF(OR(E918="",D918&lt;&gt;"รายจ่าย"),0,E918)</f>
        <v>0</v>
      </c>
      <c r="J918" s="21" t="str">
        <f aca="false">IF(E918="","",ตั้งค่า!$B$4+SUM($H$5:H918)-SUM($I$5:I918))</f>
        <v/>
      </c>
      <c r="K918" s="22" t="str">
        <f aca="false">IF(A918="","",MONTH(A918))</f>
        <v/>
      </c>
      <c r="L918" s="22" t="str">
        <f aca="false">IF(A918="","",YEAR(A918))</f>
        <v/>
      </c>
    </row>
    <row r="919" customFormat="false" ht="15" hidden="false" customHeight="false" outlineLevel="0" collapsed="false">
      <c r="A919" s="23"/>
      <c r="B919" s="24"/>
      <c r="C919" s="24"/>
      <c r="D919" s="20" t="str">
        <f aca="false">IF(C919="","",IF(COUNTIF(ตั้งค่า!$A$7:$A$18,C919)&gt;0,"รายรับ",IF(COUNTIF(ตั้งค่า!$C$7:$C$31,C919)&gt;0,"รายจ่าย","ไม่พบหมวดหมู่")))</f>
        <v/>
      </c>
      <c r="E919" s="25"/>
      <c r="F919" s="24"/>
      <c r="G919" s="24"/>
      <c r="H919" s="21" t="n">
        <f aca="false">IF(OR(E919="",D919&lt;&gt;"รายรับ"),0,E919)</f>
        <v>0</v>
      </c>
      <c r="I919" s="21" t="n">
        <f aca="false">IF(OR(E919="",D919&lt;&gt;"รายจ่าย"),0,E919)</f>
        <v>0</v>
      </c>
      <c r="J919" s="21" t="str">
        <f aca="false">IF(E919="","",ตั้งค่า!$B$4+SUM($H$5:H919)-SUM($I$5:I919))</f>
        <v/>
      </c>
      <c r="K919" s="22" t="str">
        <f aca="false">IF(A919="","",MONTH(A919))</f>
        <v/>
      </c>
      <c r="L919" s="22" t="str">
        <f aca="false">IF(A919="","",YEAR(A919))</f>
        <v/>
      </c>
    </row>
    <row r="920" customFormat="false" ht="15" hidden="false" customHeight="false" outlineLevel="0" collapsed="false">
      <c r="A920" s="23"/>
      <c r="B920" s="24"/>
      <c r="C920" s="24"/>
      <c r="D920" s="20" t="str">
        <f aca="false">IF(C920="","",IF(COUNTIF(ตั้งค่า!$A$7:$A$18,C920)&gt;0,"รายรับ",IF(COUNTIF(ตั้งค่า!$C$7:$C$31,C920)&gt;0,"รายจ่าย","ไม่พบหมวดหมู่")))</f>
        <v/>
      </c>
      <c r="E920" s="25"/>
      <c r="F920" s="24"/>
      <c r="G920" s="24"/>
      <c r="H920" s="21" t="n">
        <f aca="false">IF(OR(E920="",D920&lt;&gt;"รายรับ"),0,E920)</f>
        <v>0</v>
      </c>
      <c r="I920" s="21" t="n">
        <f aca="false">IF(OR(E920="",D920&lt;&gt;"รายจ่าย"),0,E920)</f>
        <v>0</v>
      </c>
      <c r="J920" s="21" t="str">
        <f aca="false">IF(E920="","",ตั้งค่า!$B$4+SUM($H$5:H920)-SUM($I$5:I920))</f>
        <v/>
      </c>
      <c r="K920" s="22" t="str">
        <f aca="false">IF(A920="","",MONTH(A920))</f>
        <v/>
      </c>
      <c r="L920" s="22" t="str">
        <f aca="false">IF(A920="","",YEAR(A920))</f>
        <v/>
      </c>
    </row>
    <row r="921" customFormat="false" ht="15" hidden="false" customHeight="false" outlineLevel="0" collapsed="false">
      <c r="A921" s="23"/>
      <c r="B921" s="24"/>
      <c r="C921" s="24"/>
      <c r="D921" s="20" t="str">
        <f aca="false">IF(C921="","",IF(COUNTIF(ตั้งค่า!$A$7:$A$18,C921)&gt;0,"รายรับ",IF(COUNTIF(ตั้งค่า!$C$7:$C$31,C921)&gt;0,"รายจ่าย","ไม่พบหมวดหมู่")))</f>
        <v/>
      </c>
      <c r="E921" s="25"/>
      <c r="F921" s="24"/>
      <c r="G921" s="24"/>
      <c r="H921" s="21" t="n">
        <f aca="false">IF(OR(E921="",D921&lt;&gt;"รายรับ"),0,E921)</f>
        <v>0</v>
      </c>
      <c r="I921" s="21" t="n">
        <f aca="false">IF(OR(E921="",D921&lt;&gt;"รายจ่าย"),0,E921)</f>
        <v>0</v>
      </c>
      <c r="J921" s="21" t="str">
        <f aca="false">IF(E921="","",ตั้งค่า!$B$4+SUM($H$5:H921)-SUM($I$5:I921))</f>
        <v/>
      </c>
      <c r="K921" s="22" t="str">
        <f aca="false">IF(A921="","",MONTH(A921))</f>
        <v/>
      </c>
      <c r="L921" s="22" t="str">
        <f aca="false">IF(A921="","",YEAR(A921))</f>
        <v/>
      </c>
    </row>
    <row r="922" customFormat="false" ht="15" hidden="false" customHeight="false" outlineLevel="0" collapsed="false">
      <c r="A922" s="23"/>
      <c r="B922" s="24"/>
      <c r="C922" s="24"/>
      <c r="D922" s="20" t="str">
        <f aca="false">IF(C922="","",IF(COUNTIF(ตั้งค่า!$A$7:$A$18,C922)&gt;0,"รายรับ",IF(COUNTIF(ตั้งค่า!$C$7:$C$31,C922)&gt;0,"รายจ่าย","ไม่พบหมวดหมู่")))</f>
        <v/>
      </c>
      <c r="E922" s="25"/>
      <c r="F922" s="24"/>
      <c r="G922" s="24"/>
      <c r="H922" s="21" t="n">
        <f aca="false">IF(OR(E922="",D922&lt;&gt;"รายรับ"),0,E922)</f>
        <v>0</v>
      </c>
      <c r="I922" s="21" t="n">
        <f aca="false">IF(OR(E922="",D922&lt;&gt;"รายจ่าย"),0,E922)</f>
        <v>0</v>
      </c>
      <c r="J922" s="21" t="str">
        <f aca="false">IF(E922="","",ตั้งค่า!$B$4+SUM($H$5:H922)-SUM($I$5:I922))</f>
        <v/>
      </c>
      <c r="K922" s="22" t="str">
        <f aca="false">IF(A922="","",MONTH(A922))</f>
        <v/>
      </c>
      <c r="L922" s="22" t="str">
        <f aca="false">IF(A922="","",YEAR(A922))</f>
        <v/>
      </c>
    </row>
    <row r="923" customFormat="false" ht="15" hidden="false" customHeight="false" outlineLevel="0" collapsed="false">
      <c r="A923" s="23"/>
      <c r="B923" s="24"/>
      <c r="C923" s="24"/>
      <c r="D923" s="20" t="str">
        <f aca="false">IF(C923="","",IF(COUNTIF(ตั้งค่า!$A$7:$A$18,C923)&gt;0,"รายรับ",IF(COUNTIF(ตั้งค่า!$C$7:$C$31,C923)&gt;0,"รายจ่าย","ไม่พบหมวดหมู่")))</f>
        <v/>
      </c>
      <c r="E923" s="25"/>
      <c r="F923" s="24"/>
      <c r="G923" s="24"/>
      <c r="H923" s="21" t="n">
        <f aca="false">IF(OR(E923="",D923&lt;&gt;"รายรับ"),0,E923)</f>
        <v>0</v>
      </c>
      <c r="I923" s="21" t="n">
        <f aca="false">IF(OR(E923="",D923&lt;&gt;"รายจ่าย"),0,E923)</f>
        <v>0</v>
      </c>
      <c r="J923" s="21" t="str">
        <f aca="false">IF(E923="","",ตั้งค่า!$B$4+SUM($H$5:H923)-SUM($I$5:I923))</f>
        <v/>
      </c>
      <c r="K923" s="22" t="str">
        <f aca="false">IF(A923="","",MONTH(A923))</f>
        <v/>
      </c>
      <c r="L923" s="22" t="str">
        <f aca="false">IF(A923="","",YEAR(A923))</f>
        <v/>
      </c>
    </row>
    <row r="924" customFormat="false" ht="15" hidden="false" customHeight="false" outlineLevel="0" collapsed="false">
      <c r="A924" s="23"/>
      <c r="B924" s="24"/>
      <c r="C924" s="24"/>
      <c r="D924" s="20" t="str">
        <f aca="false">IF(C924="","",IF(COUNTIF(ตั้งค่า!$A$7:$A$18,C924)&gt;0,"รายรับ",IF(COUNTIF(ตั้งค่า!$C$7:$C$31,C924)&gt;0,"รายจ่าย","ไม่พบหมวดหมู่")))</f>
        <v/>
      </c>
      <c r="E924" s="25"/>
      <c r="F924" s="24"/>
      <c r="G924" s="24"/>
      <c r="H924" s="21" t="n">
        <f aca="false">IF(OR(E924="",D924&lt;&gt;"รายรับ"),0,E924)</f>
        <v>0</v>
      </c>
      <c r="I924" s="21" t="n">
        <f aca="false">IF(OR(E924="",D924&lt;&gt;"รายจ่าย"),0,E924)</f>
        <v>0</v>
      </c>
      <c r="J924" s="21" t="str">
        <f aca="false">IF(E924="","",ตั้งค่า!$B$4+SUM($H$5:H924)-SUM($I$5:I924))</f>
        <v/>
      </c>
      <c r="K924" s="22" t="str">
        <f aca="false">IF(A924="","",MONTH(A924))</f>
        <v/>
      </c>
      <c r="L924" s="22" t="str">
        <f aca="false">IF(A924="","",YEAR(A924))</f>
        <v/>
      </c>
    </row>
    <row r="925" customFormat="false" ht="15" hidden="false" customHeight="false" outlineLevel="0" collapsed="false">
      <c r="A925" s="23"/>
      <c r="B925" s="24"/>
      <c r="C925" s="24"/>
      <c r="D925" s="20" t="str">
        <f aca="false">IF(C925="","",IF(COUNTIF(ตั้งค่า!$A$7:$A$18,C925)&gt;0,"รายรับ",IF(COUNTIF(ตั้งค่า!$C$7:$C$31,C925)&gt;0,"รายจ่าย","ไม่พบหมวดหมู่")))</f>
        <v/>
      </c>
      <c r="E925" s="25"/>
      <c r="F925" s="24"/>
      <c r="G925" s="24"/>
      <c r="H925" s="21" t="n">
        <f aca="false">IF(OR(E925="",D925&lt;&gt;"รายรับ"),0,E925)</f>
        <v>0</v>
      </c>
      <c r="I925" s="21" t="n">
        <f aca="false">IF(OR(E925="",D925&lt;&gt;"รายจ่าย"),0,E925)</f>
        <v>0</v>
      </c>
      <c r="J925" s="21" t="str">
        <f aca="false">IF(E925="","",ตั้งค่า!$B$4+SUM($H$5:H925)-SUM($I$5:I925))</f>
        <v/>
      </c>
      <c r="K925" s="22" t="str">
        <f aca="false">IF(A925="","",MONTH(A925))</f>
        <v/>
      </c>
      <c r="L925" s="22" t="str">
        <f aca="false">IF(A925="","",YEAR(A925))</f>
        <v/>
      </c>
    </row>
    <row r="926" customFormat="false" ht="15" hidden="false" customHeight="false" outlineLevel="0" collapsed="false">
      <c r="A926" s="23"/>
      <c r="B926" s="24"/>
      <c r="C926" s="24"/>
      <c r="D926" s="20" t="str">
        <f aca="false">IF(C926="","",IF(COUNTIF(ตั้งค่า!$A$7:$A$18,C926)&gt;0,"รายรับ",IF(COUNTIF(ตั้งค่า!$C$7:$C$31,C926)&gt;0,"รายจ่าย","ไม่พบหมวดหมู่")))</f>
        <v/>
      </c>
      <c r="E926" s="25"/>
      <c r="F926" s="24"/>
      <c r="G926" s="24"/>
      <c r="H926" s="21" t="n">
        <f aca="false">IF(OR(E926="",D926&lt;&gt;"รายรับ"),0,E926)</f>
        <v>0</v>
      </c>
      <c r="I926" s="21" t="n">
        <f aca="false">IF(OR(E926="",D926&lt;&gt;"รายจ่าย"),0,E926)</f>
        <v>0</v>
      </c>
      <c r="J926" s="21" t="str">
        <f aca="false">IF(E926="","",ตั้งค่า!$B$4+SUM($H$5:H926)-SUM($I$5:I926))</f>
        <v/>
      </c>
      <c r="K926" s="22" t="str">
        <f aca="false">IF(A926="","",MONTH(A926))</f>
        <v/>
      </c>
      <c r="L926" s="22" t="str">
        <f aca="false">IF(A926="","",YEAR(A926))</f>
        <v/>
      </c>
    </row>
    <row r="927" customFormat="false" ht="15" hidden="false" customHeight="false" outlineLevel="0" collapsed="false">
      <c r="A927" s="23"/>
      <c r="B927" s="24"/>
      <c r="C927" s="24"/>
      <c r="D927" s="20" t="str">
        <f aca="false">IF(C927="","",IF(COUNTIF(ตั้งค่า!$A$7:$A$18,C927)&gt;0,"รายรับ",IF(COUNTIF(ตั้งค่า!$C$7:$C$31,C927)&gt;0,"รายจ่าย","ไม่พบหมวดหมู่")))</f>
        <v/>
      </c>
      <c r="E927" s="25"/>
      <c r="F927" s="24"/>
      <c r="G927" s="24"/>
      <c r="H927" s="21" t="n">
        <f aca="false">IF(OR(E927="",D927&lt;&gt;"รายรับ"),0,E927)</f>
        <v>0</v>
      </c>
      <c r="I927" s="21" t="n">
        <f aca="false">IF(OR(E927="",D927&lt;&gt;"รายจ่าย"),0,E927)</f>
        <v>0</v>
      </c>
      <c r="J927" s="21" t="str">
        <f aca="false">IF(E927="","",ตั้งค่า!$B$4+SUM($H$5:H927)-SUM($I$5:I927))</f>
        <v/>
      </c>
      <c r="K927" s="22" t="str">
        <f aca="false">IF(A927="","",MONTH(A927))</f>
        <v/>
      </c>
      <c r="L927" s="22" t="str">
        <f aca="false">IF(A927="","",YEAR(A927))</f>
        <v/>
      </c>
    </row>
    <row r="928" customFormat="false" ht="15" hidden="false" customHeight="false" outlineLevel="0" collapsed="false">
      <c r="A928" s="23"/>
      <c r="B928" s="24"/>
      <c r="C928" s="24"/>
      <c r="D928" s="20" t="str">
        <f aca="false">IF(C928="","",IF(COUNTIF(ตั้งค่า!$A$7:$A$18,C928)&gt;0,"รายรับ",IF(COUNTIF(ตั้งค่า!$C$7:$C$31,C928)&gt;0,"รายจ่าย","ไม่พบหมวดหมู่")))</f>
        <v/>
      </c>
      <c r="E928" s="25"/>
      <c r="F928" s="24"/>
      <c r="G928" s="24"/>
      <c r="H928" s="21" t="n">
        <f aca="false">IF(OR(E928="",D928&lt;&gt;"รายรับ"),0,E928)</f>
        <v>0</v>
      </c>
      <c r="I928" s="21" t="n">
        <f aca="false">IF(OR(E928="",D928&lt;&gt;"รายจ่าย"),0,E928)</f>
        <v>0</v>
      </c>
      <c r="J928" s="21" t="str">
        <f aca="false">IF(E928="","",ตั้งค่า!$B$4+SUM($H$5:H928)-SUM($I$5:I928))</f>
        <v/>
      </c>
      <c r="K928" s="22" t="str">
        <f aca="false">IF(A928="","",MONTH(A928))</f>
        <v/>
      </c>
      <c r="L928" s="22" t="str">
        <f aca="false">IF(A928="","",YEAR(A928))</f>
        <v/>
      </c>
    </row>
    <row r="929" customFormat="false" ht="15" hidden="false" customHeight="false" outlineLevel="0" collapsed="false">
      <c r="A929" s="23"/>
      <c r="B929" s="24"/>
      <c r="C929" s="24"/>
      <c r="D929" s="20" t="str">
        <f aca="false">IF(C929="","",IF(COUNTIF(ตั้งค่า!$A$7:$A$18,C929)&gt;0,"รายรับ",IF(COUNTIF(ตั้งค่า!$C$7:$C$31,C929)&gt;0,"รายจ่าย","ไม่พบหมวดหมู่")))</f>
        <v/>
      </c>
      <c r="E929" s="25"/>
      <c r="F929" s="24"/>
      <c r="G929" s="24"/>
      <c r="H929" s="21" t="n">
        <f aca="false">IF(OR(E929="",D929&lt;&gt;"รายรับ"),0,E929)</f>
        <v>0</v>
      </c>
      <c r="I929" s="21" t="n">
        <f aca="false">IF(OR(E929="",D929&lt;&gt;"รายจ่าย"),0,E929)</f>
        <v>0</v>
      </c>
      <c r="J929" s="21" t="str">
        <f aca="false">IF(E929="","",ตั้งค่า!$B$4+SUM($H$5:H929)-SUM($I$5:I929))</f>
        <v/>
      </c>
      <c r="K929" s="22" t="str">
        <f aca="false">IF(A929="","",MONTH(A929))</f>
        <v/>
      </c>
      <c r="L929" s="22" t="str">
        <f aca="false">IF(A929="","",YEAR(A929))</f>
        <v/>
      </c>
    </row>
    <row r="930" customFormat="false" ht="15" hidden="false" customHeight="false" outlineLevel="0" collapsed="false">
      <c r="A930" s="23"/>
      <c r="B930" s="24"/>
      <c r="C930" s="24"/>
      <c r="D930" s="20" t="str">
        <f aca="false">IF(C930="","",IF(COUNTIF(ตั้งค่า!$A$7:$A$18,C930)&gt;0,"รายรับ",IF(COUNTIF(ตั้งค่า!$C$7:$C$31,C930)&gt;0,"รายจ่าย","ไม่พบหมวดหมู่")))</f>
        <v/>
      </c>
      <c r="E930" s="25"/>
      <c r="F930" s="24"/>
      <c r="G930" s="24"/>
      <c r="H930" s="21" t="n">
        <f aca="false">IF(OR(E930="",D930&lt;&gt;"รายรับ"),0,E930)</f>
        <v>0</v>
      </c>
      <c r="I930" s="21" t="n">
        <f aca="false">IF(OR(E930="",D930&lt;&gt;"รายจ่าย"),0,E930)</f>
        <v>0</v>
      </c>
      <c r="J930" s="21" t="str">
        <f aca="false">IF(E930="","",ตั้งค่า!$B$4+SUM($H$5:H930)-SUM($I$5:I930))</f>
        <v/>
      </c>
      <c r="K930" s="22" t="str">
        <f aca="false">IF(A930="","",MONTH(A930))</f>
        <v/>
      </c>
      <c r="L930" s="22" t="str">
        <f aca="false">IF(A930="","",YEAR(A930))</f>
        <v/>
      </c>
    </row>
    <row r="931" customFormat="false" ht="15" hidden="false" customHeight="false" outlineLevel="0" collapsed="false">
      <c r="A931" s="23"/>
      <c r="B931" s="24"/>
      <c r="C931" s="24"/>
      <c r="D931" s="20" t="str">
        <f aca="false">IF(C931="","",IF(COUNTIF(ตั้งค่า!$A$7:$A$18,C931)&gt;0,"รายรับ",IF(COUNTIF(ตั้งค่า!$C$7:$C$31,C931)&gt;0,"รายจ่าย","ไม่พบหมวดหมู่")))</f>
        <v/>
      </c>
      <c r="E931" s="25"/>
      <c r="F931" s="24"/>
      <c r="G931" s="24"/>
      <c r="H931" s="21" t="n">
        <f aca="false">IF(OR(E931="",D931&lt;&gt;"รายรับ"),0,E931)</f>
        <v>0</v>
      </c>
      <c r="I931" s="21" t="n">
        <f aca="false">IF(OR(E931="",D931&lt;&gt;"รายจ่าย"),0,E931)</f>
        <v>0</v>
      </c>
      <c r="J931" s="21" t="str">
        <f aca="false">IF(E931="","",ตั้งค่า!$B$4+SUM($H$5:H931)-SUM($I$5:I931))</f>
        <v/>
      </c>
      <c r="K931" s="22" t="str">
        <f aca="false">IF(A931="","",MONTH(A931))</f>
        <v/>
      </c>
      <c r="L931" s="22" t="str">
        <f aca="false">IF(A931="","",YEAR(A931))</f>
        <v/>
      </c>
    </row>
    <row r="932" customFormat="false" ht="15" hidden="false" customHeight="false" outlineLevel="0" collapsed="false">
      <c r="A932" s="23"/>
      <c r="B932" s="24"/>
      <c r="C932" s="24"/>
      <c r="D932" s="20" t="str">
        <f aca="false">IF(C932="","",IF(COUNTIF(ตั้งค่า!$A$7:$A$18,C932)&gt;0,"รายรับ",IF(COUNTIF(ตั้งค่า!$C$7:$C$31,C932)&gt;0,"รายจ่าย","ไม่พบหมวดหมู่")))</f>
        <v/>
      </c>
      <c r="E932" s="25"/>
      <c r="F932" s="24"/>
      <c r="G932" s="24"/>
      <c r="H932" s="21" t="n">
        <f aca="false">IF(OR(E932="",D932&lt;&gt;"รายรับ"),0,E932)</f>
        <v>0</v>
      </c>
      <c r="I932" s="21" t="n">
        <f aca="false">IF(OR(E932="",D932&lt;&gt;"รายจ่าย"),0,E932)</f>
        <v>0</v>
      </c>
      <c r="J932" s="21" t="str">
        <f aca="false">IF(E932="","",ตั้งค่า!$B$4+SUM($H$5:H932)-SUM($I$5:I932))</f>
        <v/>
      </c>
      <c r="K932" s="22" t="str">
        <f aca="false">IF(A932="","",MONTH(A932))</f>
        <v/>
      </c>
      <c r="L932" s="22" t="str">
        <f aca="false">IF(A932="","",YEAR(A932))</f>
        <v/>
      </c>
    </row>
    <row r="933" customFormat="false" ht="15" hidden="false" customHeight="false" outlineLevel="0" collapsed="false">
      <c r="A933" s="23"/>
      <c r="B933" s="24"/>
      <c r="C933" s="24"/>
      <c r="D933" s="20" t="str">
        <f aca="false">IF(C933="","",IF(COUNTIF(ตั้งค่า!$A$7:$A$18,C933)&gt;0,"รายรับ",IF(COUNTIF(ตั้งค่า!$C$7:$C$31,C933)&gt;0,"รายจ่าย","ไม่พบหมวดหมู่")))</f>
        <v/>
      </c>
      <c r="E933" s="25"/>
      <c r="F933" s="24"/>
      <c r="G933" s="24"/>
      <c r="H933" s="21" t="n">
        <f aca="false">IF(OR(E933="",D933&lt;&gt;"รายรับ"),0,E933)</f>
        <v>0</v>
      </c>
      <c r="I933" s="21" t="n">
        <f aca="false">IF(OR(E933="",D933&lt;&gt;"รายจ่าย"),0,E933)</f>
        <v>0</v>
      </c>
      <c r="J933" s="21" t="str">
        <f aca="false">IF(E933="","",ตั้งค่า!$B$4+SUM($H$5:H933)-SUM($I$5:I933))</f>
        <v/>
      </c>
      <c r="K933" s="22" t="str">
        <f aca="false">IF(A933="","",MONTH(A933))</f>
        <v/>
      </c>
      <c r="L933" s="22" t="str">
        <f aca="false">IF(A933="","",YEAR(A933))</f>
        <v/>
      </c>
    </row>
    <row r="934" customFormat="false" ht="15" hidden="false" customHeight="false" outlineLevel="0" collapsed="false">
      <c r="A934" s="23"/>
      <c r="B934" s="24"/>
      <c r="C934" s="24"/>
      <c r="D934" s="20" t="str">
        <f aca="false">IF(C934="","",IF(COUNTIF(ตั้งค่า!$A$7:$A$18,C934)&gt;0,"รายรับ",IF(COUNTIF(ตั้งค่า!$C$7:$C$31,C934)&gt;0,"รายจ่าย","ไม่พบหมวดหมู่")))</f>
        <v/>
      </c>
      <c r="E934" s="25"/>
      <c r="F934" s="24"/>
      <c r="G934" s="24"/>
      <c r="H934" s="21" t="n">
        <f aca="false">IF(OR(E934="",D934&lt;&gt;"รายรับ"),0,E934)</f>
        <v>0</v>
      </c>
      <c r="I934" s="21" t="n">
        <f aca="false">IF(OR(E934="",D934&lt;&gt;"รายจ่าย"),0,E934)</f>
        <v>0</v>
      </c>
      <c r="J934" s="21" t="str">
        <f aca="false">IF(E934="","",ตั้งค่า!$B$4+SUM($H$5:H934)-SUM($I$5:I934))</f>
        <v/>
      </c>
      <c r="K934" s="22" t="str">
        <f aca="false">IF(A934="","",MONTH(A934))</f>
        <v/>
      </c>
      <c r="L934" s="22" t="str">
        <f aca="false">IF(A934="","",YEAR(A934))</f>
        <v/>
      </c>
    </row>
    <row r="935" customFormat="false" ht="15" hidden="false" customHeight="false" outlineLevel="0" collapsed="false">
      <c r="A935" s="23"/>
      <c r="B935" s="24"/>
      <c r="C935" s="24"/>
      <c r="D935" s="20" t="str">
        <f aca="false">IF(C935="","",IF(COUNTIF(ตั้งค่า!$A$7:$A$18,C935)&gt;0,"รายรับ",IF(COUNTIF(ตั้งค่า!$C$7:$C$31,C935)&gt;0,"รายจ่าย","ไม่พบหมวดหมู่")))</f>
        <v/>
      </c>
      <c r="E935" s="25"/>
      <c r="F935" s="24"/>
      <c r="G935" s="24"/>
      <c r="H935" s="21" t="n">
        <f aca="false">IF(OR(E935="",D935&lt;&gt;"รายรับ"),0,E935)</f>
        <v>0</v>
      </c>
      <c r="I935" s="21" t="n">
        <f aca="false">IF(OR(E935="",D935&lt;&gt;"รายจ่าย"),0,E935)</f>
        <v>0</v>
      </c>
      <c r="J935" s="21" t="str">
        <f aca="false">IF(E935="","",ตั้งค่า!$B$4+SUM($H$5:H935)-SUM($I$5:I935))</f>
        <v/>
      </c>
      <c r="K935" s="22" t="str">
        <f aca="false">IF(A935="","",MONTH(A935))</f>
        <v/>
      </c>
      <c r="L935" s="22" t="str">
        <f aca="false">IF(A935="","",YEAR(A935))</f>
        <v/>
      </c>
    </row>
    <row r="936" customFormat="false" ht="15" hidden="false" customHeight="false" outlineLevel="0" collapsed="false">
      <c r="A936" s="23"/>
      <c r="B936" s="24"/>
      <c r="C936" s="24"/>
      <c r="D936" s="20" t="str">
        <f aca="false">IF(C936="","",IF(COUNTIF(ตั้งค่า!$A$7:$A$18,C936)&gt;0,"รายรับ",IF(COUNTIF(ตั้งค่า!$C$7:$C$31,C936)&gt;0,"รายจ่าย","ไม่พบหมวดหมู่")))</f>
        <v/>
      </c>
      <c r="E936" s="25"/>
      <c r="F936" s="24"/>
      <c r="G936" s="24"/>
      <c r="H936" s="21" t="n">
        <f aca="false">IF(OR(E936="",D936&lt;&gt;"รายรับ"),0,E936)</f>
        <v>0</v>
      </c>
      <c r="I936" s="21" t="n">
        <f aca="false">IF(OR(E936="",D936&lt;&gt;"รายจ่าย"),0,E936)</f>
        <v>0</v>
      </c>
      <c r="J936" s="21" t="str">
        <f aca="false">IF(E936="","",ตั้งค่า!$B$4+SUM($H$5:H936)-SUM($I$5:I936))</f>
        <v/>
      </c>
      <c r="K936" s="22" t="str">
        <f aca="false">IF(A936="","",MONTH(A936))</f>
        <v/>
      </c>
      <c r="L936" s="22" t="str">
        <f aca="false">IF(A936="","",YEAR(A936))</f>
        <v/>
      </c>
    </row>
    <row r="937" customFormat="false" ht="15" hidden="false" customHeight="false" outlineLevel="0" collapsed="false">
      <c r="A937" s="23"/>
      <c r="B937" s="24"/>
      <c r="C937" s="24"/>
      <c r="D937" s="20" t="str">
        <f aca="false">IF(C937="","",IF(COUNTIF(ตั้งค่า!$A$7:$A$18,C937)&gt;0,"รายรับ",IF(COUNTIF(ตั้งค่า!$C$7:$C$31,C937)&gt;0,"รายจ่าย","ไม่พบหมวดหมู่")))</f>
        <v/>
      </c>
      <c r="E937" s="25"/>
      <c r="F937" s="24"/>
      <c r="G937" s="24"/>
      <c r="H937" s="21" t="n">
        <f aca="false">IF(OR(E937="",D937&lt;&gt;"รายรับ"),0,E937)</f>
        <v>0</v>
      </c>
      <c r="I937" s="21" t="n">
        <f aca="false">IF(OR(E937="",D937&lt;&gt;"รายจ่าย"),0,E937)</f>
        <v>0</v>
      </c>
      <c r="J937" s="21" t="str">
        <f aca="false">IF(E937="","",ตั้งค่า!$B$4+SUM($H$5:H937)-SUM($I$5:I937))</f>
        <v/>
      </c>
      <c r="K937" s="22" t="str">
        <f aca="false">IF(A937="","",MONTH(A937))</f>
        <v/>
      </c>
      <c r="L937" s="22" t="str">
        <f aca="false">IF(A937="","",YEAR(A937))</f>
        <v/>
      </c>
    </row>
    <row r="938" customFormat="false" ht="15" hidden="false" customHeight="false" outlineLevel="0" collapsed="false">
      <c r="A938" s="23"/>
      <c r="B938" s="24"/>
      <c r="C938" s="24"/>
      <c r="D938" s="20" t="str">
        <f aca="false">IF(C938="","",IF(COUNTIF(ตั้งค่า!$A$7:$A$18,C938)&gt;0,"รายรับ",IF(COUNTIF(ตั้งค่า!$C$7:$C$31,C938)&gt;0,"รายจ่าย","ไม่พบหมวดหมู่")))</f>
        <v/>
      </c>
      <c r="E938" s="25"/>
      <c r="F938" s="24"/>
      <c r="G938" s="24"/>
      <c r="H938" s="21" t="n">
        <f aca="false">IF(OR(E938="",D938&lt;&gt;"รายรับ"),0,E938)</f>
        <v>0</v>
      </c>
      <c r="I938" s="21" t="n">
        <f aca="false">IF(OR(E938="",D938&lt;&gt;"รายจ่าย"),0,E938)</f>
        <v>0</v>
      </c>
      <c r="J938" s="21" t="str">
        <f aca="false">IF(E938="","",ตั้งค่า!$B$4+SUM($H$5:H938)-SUM($I$5:I938))</f>
        <v/>
      </c>
      <c r="K938" s="22" t="str">
        <f aca="false">IF(A938="","",MONTH(A938))</f>
        <v/>
      </c>
      <c r="L938" s="22" t="str">
        <f aca="false">IF(A938="","",YEAR(A938))</f>
        <v/>
      </c>
    </row>
    <row r="939" customFormat="false" ht="15" hidden="false" customHeight="false" outlineLevel="0" collapsed="false">
      <c r="A939" s="23"/>
      <c r="B939" s="24"/>
      <c r="C939" s="24"/>
      <c r="D939" s="20" t="str">
        <f aca="false">IF(C939="","",IF(COUNTIF(ตั้งค่า!$A$7:$A$18,C939)&gt;0,"รายรับ",IF(COUNTIF(ตั้งค่า!$C$7:$C$31,C939)&gt;0,"รายจ่าย","ไม่พบหมวดหมู่")))</f>
        <v/>
      </c>
      <c r="E939" s="25"/>
      <c r="F939" s="24"/>
      <c r="G939" s="24"/>
      <c r="H939" s="21" t="n">
        <f aca="false">IF(OR(E939="",D939&lt;&gt;"รายรับ"),0,E939)</f>
        <v>0</v>
      </c>
      <c r="I939" s="21" t="n">
        <f aca="false">IF(OR(E939="",D939&lt;&gt;"รายจ่าย"),0,E939)</f>
        <v>0</v>
      </c>
      <c r="J939" s="21" t="str">
        <f aca="false">IF(E939="","",ตั้งค่า!$B$4+SUM($H$5:H939)-SUM($I$5:I939))</f>
        <v/>
      </c>
      <c r="K939" s="22" t="str">
        <f aca="false">IF(A939="","",MONTH(A939))</f>
        <v/>
      </c>
      <c r="L939" s="22" t="str">
        <f aca="false">IF(A939="","",YEAR(A939))</f>
        <v/>
      </c>
    </row>
    <row r="940" customFormat="false" ht="15" hidden="false" customHeight="false" outlineLevel="0" collapsed="false">
      <c r="A940" s="23"/>
      <c r="B940" s="24"/>
      <c r="C940" s="24"/>
      <c r="D940" s="20" t="str">
        <f aca="false">IF(C940="","",IF(COUNTIF(ตั้งค่า!$A$7:$A$18,C940)&gt;0,"รายรับ",IF(COUNTIF(ตั้งค่า!$C$7:$C$31,C940)&gt;0,"รายจ่าย","ไม่พบหมวดหมู่")))</f>
        <v/>
      </c>
      <c r="E940" s="25"/>
      <c r="F940" s="24"/>
      <c r="G940" s="24"/>
      <c r="H940" s="21" t="n">
        <f aca="false">IF(OR(E940="",D940&lt;&gt;"รายรับ"),0,E940)</f>
        <v>0</v>
      </c>
      <c r="I940" s="21" t="n">
        <f aca="false">IF(OR(E940="",D940&lt;&gt;"รายจ่าย"),0,E940)</f>
        <v>0</v>
      </c>
      <c r="J940" s="21" t="str">
        <f aca="false">IF(E940="","",ตั้งค่า!$B$4+SUM($H$5:H940)-SUM($I$5:I940))</f>
        <v/>
      </c>
      <c r="K940" s="22" t="str">
        <f aca="false">IF(A940="","",MONTH(A940))</f>
        <v/>
      </c>
      <c r="L940" s="22" t="str">
        <f aca="false">IF(A940="","",YEAR(A940))</f>
        <v/>
      </c>
    </row>
    <row r="941" customFormat="false" ht="15" hidden="false" customHeight="false" outlineLevel="0" collapsed="false">
      <c r="A941" s="23"/>
      <c r="B941" s="24"/>
      <c r="C941" s="24"/>
      <c r="D941" s="20" t="str">
        <f aca="false">IF(C941="","",IF(COUNTIF(ตั้งค่า!$A$7:$A$18,C941)&gt;0,"รายรับ",IF(COUNTIF(ตั้งค่า!$C$7:$C$31,C941)&gt;0,"รายจ่าย","ไม่พบหมวดหมู่")))</f>
        <v/>
      </c>
      <c r="E941" s="25"/>
      <c r="F941" s="24"/>
      <c r="G941" s="24"/>
      <c r="H941" s="21" t="n">
        <f aca="false">IF(OR(E941="",D941&lt;&gt;"รายรับ"),0,E941)</f>
        <v>0</v>
      </c>
      <c r="I941" s="21" t="n">
        <f aca="false">IF(OR(E941="",D941&lt;&gt;"รายจ่าย"),0,E941)</f>
        <v>0</v>
      </c>
      <c r="J941" s="21" t="str">
        <f aca="false">IF(E941="","",ตั้งค่า!$B$4+SUM($H$5:H941)-SUM($I$5:I941))</f>
        <v/>
      </c>
      <c r="K941" s="22" t="str">
        <f aca="false">IF(A941="","",MONTH(A941))</f>
        <v/>
      </c>
      <c r="L941" s="22" t="str">
        <f aca="false">IF(A941="","",YEAR(A941))</f>
        <v/>
      </c>
    </row>
    <row r="942" customFormat="false" ht="15" hidden="false" customHeight="false" outlineLevel="0" collapsed="false">
      <c r="A942" s="23"/>
      <c r="B942" s="24"/>
      <c r="C942" s="24"/>
      <c r="D942" s="20" t="str">
        <f aca="false">IF(C942="","",IF(COUNTIF(ตั้งค่า!$A$7:$A$18,C942)&gt;0,"รายรับ",IF(COUNTIF(ตั้งค่า!$C$7:$C$31,C942)&gt;0,"รายจ่าย","ไม่พบหมวดหมู่")))</f>
        <v/>
      </c>
      <c r="E942" s="25"/>
      <c r="F942" s="24"/>
      <c r="G942" s="24"/>
      <c r="H942" s="21" t="n">
        <f aca="false">IF(OR(E942="",D942&lt;&gt;"รายรับ"),0,E942)</f>
        <v>0</v>
      </c>
      <c r="I942" s="21" t="n">
        <f aca="false">IF(OR(E942="",D942&lt;&gt;"รายจ่าย"),0,E942)</f>
        <v>0</v>
      </c>
      <c r="J942" s="21" t="str">
        <f aca="false">IF(E942="","",ตั้งค่า!$B$4+SUM($H$5:H942)-SUM($I$5:I942))</f>
        <v/>
      </c>
      <c r="K942" s="22" t="str">
        <f aca="false">IF(A942="","",MONTH(A942))</f>
        <v/>
      </c>
      <c r="L942" s="22" t="str">
        <f aca="false">IF(A942="","",YEAR(A942))</f>
        <v/>
      </c>
    </row>
    <row r="943" customFormat="false" ht="15" hidden="false" customHeight="false" outlineLevel="0" collapsed="false">
      <c r="A943" s="23"/>
      <c r="B943" s="24"/>
      <c r="C943" s="24"/>
      <c r="D943" s="20" t="str">
        <f aca="false">IF(C943="","",IF(COUNTIF(ตั้งค่า!$A$7:$A$18,C943)&gt;0,"รายรับ",IF(COUNTIF(ตั้งค่า!$C$7:$C$31,C943)&gt;0,"รายจ่าย","ไม่พบหมวดหมู่")))</f>
        <v/>
      </c>
      <c r="E943" s="25"/>
      <c r="F943" s="24"/>
      <c r="G943" s="24"/>
      <c r="H943" s="21" t="n">
        <f aca="false">IF(OR(E943="",D943&lt;&gt;"รายรับ"),0,E943)</f>
        <v>0</v>
      </c>
      <c r="I943" s="21" t="n">
        <f aca="false">IF(OR(E943="",D943&lt;&gt;"รายจ่าย"),0,E943)</f>
        <v>0</v>
      </c>
      <c r="J943" s="21" t="str">
        <f aca="false">IF(E943="","",ตั้งค่า!$B$4+SUM($H$5:H943)-SUM($I$5:I943))</f>
        <v/>
      </c>
      <c r="K943" s="22" t="str">
        <f aca="false">IF(A943="","",MONTH(A943))</f>
        <v/>
      </c>
      <c r="L943" s="22" t="str">
        <f aca="false">IF(A943="","",YEAR(A943))</f>
        <v/>
      </c>
    </row>
    <row r="944" customFormat="false" ht="15" hidden="false" customHeight="false" outlineLevel="0" collapsed="false">
      <c r="A944" s="23"/>
      <c r="B944" s="24"/>
      <c r="C944" s="24"/>
      <c r="D944" s="20" t="str">
        <f aca="false">IF(C944="","",IF(COUNTIF(ตั้งค่า!$A$7:$A$18,C944)&gt;0,"รายรับ",IF(COUNTIF(ตั้งค่า!$C$7:$C$31,C944)&gt;0,"รายจ่าย","ไม่พบหมวดหมู่")))</f>
        <v/>
      </c>
      <c r="E944" s="25"/>
      <c r="F944" s="24"/>
      <c r="G944" s="24"/>
      <c r="H944" s="21" t="n">
        <f aca="false">IF(OR(E944="",D944&lt;&gt;"รายรับ"),0,E944)</f>
        <v>0</v>
      </c>
      <c r="I944" s="21" t="n">
        <f aca="false">IF(OR(E944="",D944&lt;&gt;"รายจ่าย"),0,E944)</f>
        <v>0</v>
      </c>
      <c r="J944" s="21" t="str">
        <f aca="false">IF(E944="","",ตั้งค่า!$B$4+SUM($H$5:H944)-SUM($I$5:I944))</f>
        <v/>
      </c>
      <c r="K944" s="22" t="str">
        <f aca="false">IF(A944="","",MONTH(A944))</f>
        <v/>
      </c>
      <c r="L944" s="22" t="str">
        <f aca="false">IF(A944="","",YEAR(A944))</f>
        <v/>
      </c>
    </row>
    <row r="945" customFormat="false" ht="15" hidden="false" customHeight="false" outlineLevel="0" collapsed="false">
      <c r="A945" s="23"/>
      <c r="B945" s="24"/>
      <c r="C945" s="24"/>
      <c r="D945" s="20" t="str">
        <f aca="false">IF(C945="","",IF(COUNTIF(ตั้งค่า!$A$7:$A$18,C945)&gt;0,"รายรับ",IF(COUNTIF(ตั้งค่า!$C$7:$C$31,C945)&gt;0,"รายจ่าย","ไม่พบหมวดหมู่")))</f>
        <v/>
      </c>
      <c r="E945" s="25"/>
      <c r="F945" s="24"/>
      <c r="G945" s="24"/>
      <c r="H945" s="21" t="n">
        <f aca="false">IF(OR(E945="",D945&lt;&gt;"รายรับ"),0,E945)</f>
        <v>0</v>
      </c>
      <c r="I945" s="21" t="n">
        <f aca="false">IF(OR(E945="",D945&lt;&gt;"รายจ่าย"),0,E945)</f>
        <v>0</v>
      </c>
      <c r="J945" s="21" t="str">
        <f aca="false">IF(E945="","",ตั้งค่า!$B$4+SUM($H$5:H945)-SUM($I$5:I945))</f>
        <v/>
      </c>
      <c r="K945" s="22" t="str">
        <f aca="false">IF(A945="","",MONTH(A945))</f>
        <v/>
      </c>
      <c r="L945" s="22" t="str">
        <f aca="false">IF(A945="","",YEAR(A945))</f>
        <v/>
      </c>
    </row>
    <row r="946" customFormat="false" ht="15" hidden="false" customHeight="false" outlineLevel="0" collapsed="false">
      <c r="A946" s="23"/>
      <c r="B946" s="24"/>
      <c r="C946" s="24"/>
      <c r="D946" s="20" t="str">
        <f aca="false">IF(C946="","",IF(COUNTIF(ตั้งค่า!$A$7:$A$18,C946)&gt;0,"รายรับ",IF(COUNTIF(ตั้งค่า!$C$7:$C$31,C946)&gt;0,"รายจ่าย","ไม่พบหมวดหมู่")))</f>
        <v/>
      </c>
      <c r="E946" s="25"/>
      <c r="F946" s="24"/>
      <c r="G946" s="24"/>
      <c r="H946" s="21" t="n">
        <f aca="false">IF(OR(E946="",D946&lt;&gt;"รายรับ"),0,E946)</f>
        <v>0</v>
      </c>
      <c r="I946" s="21" t="n">
        <f aca="false">IF(OR(E946="",D946&lt;&gt;"รายจ่าย"),0,E946)</f>
        <v>0</v>
      </c>
      <c r="J946" s="21" t="str">
        <f aca="false">IF(E946="","",ตั้งค่า!$B$4+SUM($H$5:H946)-SUM($I$5:I946))</f>
        <v/>
      </c>
      <c r="K946" s="22" t="str">
        <f aca="false">IF(A946="","",MONTH(A946))</f>
        <v/>
      </c>
      <c r="L946" s="22" t="str">
        <f aca="false">IF(A946="","",YEAR(A946))</f>
        <v/>
      </c>
    </row>
    <row r="947" customFormat="false" ht="15" hidden="false" customHeight="false" outlineLevel="0" collapsed="false">
      <c r="A947" s="23"/>
      <c r="B947" s="24"/>
      <c r="C947" s="24"/>
      <c r="D947" s="20" t="str">
        <f aca="false">IF(C947="","",IF(COUNTIF(ตั้งค่า!$A$7:$A$18,C947)&gt;0,"รายรับ",IF(COUNTIF(ตั้งค่า!$C$7:$C$31,C947)&gt;0,"รายจ่าย","ไม่พบหมวดหมู่")))</f>
        <v/>
      </c>
      <c r="E947" s="25"/>
      <c r="F947" s="24"/>
      <c r="G947" s="24"/>
      <c r="H947" s="21" t="n">
        <f aca="false">IF(OR(E947="",D947&lt;&gt;"รายรับ"),0,E947)</f>
        <v>0</v>
      </c>
      <c r="I947" s="21" t="n">
        <f aca="false">IF(OR(E947="",D947&lt;&gt;"รายจ่าย"),0,E947)</f>
        <v>0</v>
      </c>
      <c r="J947" s="21" t="str">
        <f aca="false">IF(E947="","",ตั้งค่า!$B$4+SUM($H$5:H947)-SUM($I$5:I947))</f>
        <v/>
      </c>
      <c r="K947" s="22" t="str">
        <f aca="false">IF(A947="","",MONTH(A947))</f>
        <v/>
      </c>
      <c r="L947" s="22" t="str">
        <f aca="false">IF(A947="","",YEAR(A947))</f>
        <v/>
      </c>
    </row>
    <row r="948" customFormat="false" ht="15" hidden="false" customHeight="false" outlineLevel="0" collapsed="false">
      <c r="A948" s="23"/>
      <c r="B948" s="24"/>
      <c r="C948" s="24"/>
      <c r="D948" s="20" t="str">
        <f aca="false">IF(C948="","",IF(COUNTIF(ตั้งค่า!$A$7:$A$18,C948)&gt;0,"รายรับ",IF(COUNTIF(ตั้งค่า!$C$7:$C$31,C948)&gt;0,"รายจ่าย","ไม่พบหมวดหมู่")))</f>
        <v/>
      </c>
      <c r="E948" s="25"/>
      <c r="F948" s="24"/>
      <c r="G948" s="24"/>
      <c r="H948" s="21" t="n">
        <f aca="false">IF(OR(E948="",D948&lt;&gt;"รายรับ"),0,E948)</f>
        <v>0</v>
      </c>
      <c r="I948" s="21" t="n">
        <f aca="false">IF(OR(E948="",D948&lt;&gt;"รายจ่าย"),0,E948)</f>
        <v>0</v>
      </c>
      <c r="J948" s="21" t="str">
        <f aca="false">IF(E948="","",ตั้งค่า!$B$4+SUM($H$5:H948)-SUM($I$5:I948))</f>
        <v/>
      </c>
      <c r="K948" s="22" t="str">
        <f aca="false">IF(A948="","",MONTH(A948))</f>
        <v/>
      </c>
      <c r="L948" s="22" t="str">
        <f aca="false">IF(A948="","",YEAR(A948))</f>
        <v/>
      </c>
    </row>
    <row r="949" customFormat="false" ht="15" hidden="false" customHeight="false" outlineLevel="0" collapsed="false">
      <c r="A949" s="23"/>
      <c r="B949" s="24"/>
      <c r="C949" s="24"/>
      <c r="D949" s="20" t="str">
        <f aca="false">IF(C949="","",IF(COUNTIF(ตั้งค่า!$A$7:$A$18,C949)&gt;0,"รายรับ",IF(COUNTIF(ตั้งค่า!$C$7:$C$31,C949)&gt;0,"รายจ่าย","ไม่พบหมวดหมู่")))</f>
        <v/>
      </c>
      <c r="E949" s="25"/>
      <c r="F949" s="24"/>
      <c r="G949" s="24"/>
      <c r="H949" s="21" t="n">
        <f aca="false">IF(OR(E949="",D949&lt;&gt;"รายรับ"),0,E949)</f>
        <v>0</v>
      </c>
      <c r="I949" s="21" t="n">
        <f aca="false">IF(OR(E949="",D949&lt;&gt;"รายจ่าย"),0,E949)</f>
        <v>0</v>
      </c>
      <c r="J949" s="21" t="str">
        <f aca="false">IF(E949="","",ตั้งค่า!$B$4+SUM($H$5:H949)-SUM($I$5:I949))</f>
        <v/>
      </c>
      <c r="K949" s="22" t="str">
        <f aca="false">IF(A949="","",MONTH(A949))</f>
        <v/>
      </c>
      <c r="L949" s="22" t="str">
        <f aca="false">IF(A949="","",YEAR(A949))</f>
        <v/>
      </c>
    </row>
    <row r="950" customFormat="false" ht="15" hidden="false" customHeight="false" outlineLevel="0" collapsed="false">
      <c r="A950" s="23"/>
      <c r="B950" s="24"/>
      <c r="C950" s="24"/>
      <c r="D950" s="20" t="str">
        <f aca="false">IF(C950="","",IF(COUNTIF(ตั้งค่า!$A$7:$A$18,C950)&gt;0,"รายรับ",IF(COUNTIF(ตั้งค่า!$C$7:$C$31,C950)&gt;0,"รายจ่าย","ไม่พบหมวดหมู่")))</f>
        <v/>
      </c>
      <c r="E950" s="25"/>
      <c r="F950" s="24"/>
      <c r="G950" s="24"/>
      <c r="H950" s="21" t="n">
        <f aca="false">IF(OR(E950="",D950&lt;&gt;"รายรับ"),0,E950)</f>
        <v>0</v>
      </c>
      <c r="I950" s="21" t="n">
        <f aca="false">IF(OR(E950="",D950&lt;&gt;"รายจ่าย"),0,E950)</f>
        <v>0</v>
      </c>
      <c r="J950" s="21" t="str">
        <f aca="false">IF(E950="","",ตั้งค่า!$B$4+SUM($H$5:H950)-SUM($I$5:I950))</f>
        <v/>
      </c>
      <c r="K950" s="22" t="str">
        <f aca="false">IF(A950="","",MONTH(A950))</f>
        <v/>
      </c>
      <c r="L950" s="22" t="str">
        <f aca="false">IF(A950="","",YEAR(A950))</f>
        <v/>
      </c>
    </row>
    <row r="951" customFormat="false" ht="15" hidden="false" customHeight="false" outlineLevel="0" collapsed="false">
      <c r="A951" s="23"/>
      <c r="B951" s="24"/>
      <c r="C951" s="24"/>
      <c r="D951" s="20" t="str">
        <f aca="false">IF(C951="","",IF(COUNTIF(ตั้งค่า!$A$7:$A$18,C951)&gt;0,"รายรับ",IF(COUNTIF(ตั้งค่า!$C$7:$C$31,C951)&gt;0,"รายจ่าย","ไม่พบหมวดหมู่")))</f>
        <v/>
      </c>
      <c r="E951" s="25"/>
      <c r="F951" s="24"/>
      <c r="G951" s="24"/>
      <c r="H951" s="21" t="n">
        <f aca="false">IF(OR(E951="",D951&lt;&gt;"รายรับ"),0,E951)</f>
        <v>0</v>
      </c>
      <c r="I951" s="21" t="n">
        <f aca="false">IF(OR(E951="",D951&lt;&gt;"รายจ่าย"),0,E951)</f>
        <v>0</v>
      </c>
      <c r="J951" s="21" t="str">
        <f aca="false">IF(E951="","",ตั้งค่า!$B$4+SUM($H$5:H951)-SUM($I$5:I951))</f>
        <v/>
      </c>
      <c r="K951" s="22" t="str">
        <f aca="false">IF(A951="","",MONTH(A951))</f>
        <v/>
      </c>
      <c r="L951" s="22" t="str">
        <f aca="false">IF(A951="","",YEAR(A951))</f>
        <v/>
      </c>
    </row>
    <row r="952" customFormat="false" ht="15" hidden="false" customHeight="false" outlineLevel="0" collapsed="false">
      <c r="A952" s="23"/>
      <c r="B952" s="24"/>
      <c r="C952" s="24"/>
      <c r="D952" s="20" t="str">
        <f aca="false">IF(C952="","",IF(COUNTIF(ตั้งค่า!$A$7:$A$18,C952)&gt;0,"รายรับ",IF(COUNTIF(ตั้งค่า!$C$7:$C$31,C952)&gt;0,"รายจ่าย","ไม่พบหมวดหมู่")))</f>
        <v/>
      </c>
      <c r="E952" s="25"/>
      <c r="F952" s="24"/>
      <c r="G952" s="24"/>
      <c r="H952" s="21" t="n">
        <f aca="false">IF(OR(E952="",D952&lt;&gt;"รายรับ"),0,E952)</f>
        <v>0</v>
      </c>
      <c r="I952" s="21" t="n">
        <f aca="false">IF(OR(E952="",D952&lt;&gt;"รายจ่าย"),0,E952)</f>
        <v>0</v>
      </c>
      <c r="J952" s="21" t="str">
        <f aca="false">IF(E952="","",ตั้งค่า!$B$4+SUM($H$5:H952)-SUM($I$5:I952))</f>
        <v/>
      </c>
      <c r="K952" s="22" t="str">
        <f aca="false">IF(A952="","",MONTH(A952))</f>
        <v/>
      </c>
      <c r="L952" s="22" t="str">
        <f aca="false">IF(A952="","",YEAR(A952))</f>
        <v/>
      </c>
    </row>
    <row r="953" customFormat="false" ht="15" hidden="false" customHeight="false" outlineLevel="0" collapsed="false">
      <c r="A953" s="23"/>
      <c r="B953" s="24"/>
      <c r="C953" s="24"/>
      <c r="D953" s="20" t="str">
        <f aca="false">IF(C953="","",IF(COUNTIF(ตั้งค่า!$A$7:$A$18,C953)&gt;0,"รายรับ",IF(COUNTIF(ตั้งค่า!$C$7:$C$31,C953)&gt;0,"รายจ่าย","ไม่พบหมวดหมู่")))</f>
        <v/>
      </c>
      <c r="E953" s="25"/>
      <c r="F953" s="24"/>
      <c r="G953" s="24"/>
      <c r="H953" s="21" t="n">
        <f aca="false">IF(OR(E953="",D953&lt;&gt;"รายรับ"),0,E953)</f>
        <v>0</v>
      </c>
      <c r="I953" s="21" t="n">
        <f aca="false">IF(OR(E953="",D953&lt;&gt;"รายจ่าย"),0,E953)</f>
        <v>0</v>
      </c>
      <c r="J953" s="21" t="str">
        <f aca="false">IF(E953="","",ตั้งค่า!$B$4+SUM($H$5:H953)-SUM($I$5:I953))</f>
        <v/>
      </c>
      <c r="K953" s="22" t="str">
        <f aca="false">IF(A953="","",MONTH(A953))</f>
        <v/>
      </c>
      <c r="L953" s="22" t="str">
        <f aca="false">IF(A953="","",YEAR(A953))</f>
        <v/>
      </c>
    </row>
    <row r="954" customFormat="false" ht="15" hidden="false" customHeight="false" outlineLevel="0" collapsed="false">
      <c r="A954" s="23"/>
      <c r="B954" s="24"/>
      <c r="C954" s="24"/>
      <c r="D954" s="20" t="str">
        <f aca="false">IF(C954="","",IF(COUNTIF(ตั้งค่า!$A$7:$A$18,C954)&gt;0,"รายรับ",IF(COUNTIF(ตั้งค่า!$C$7:$C$31,C954)&gt;0,"รายจ่าย","ไม่พบหมวดหมู่")))</f>
        <v/>
      </c>
      <c r="E954" s="25"/>
      <c r="F954" s="24"/>
      <c r="G954" s="24"/>
      <c r="H954" s="21" t="n">
        <f aca="false">IF(OR(E954="",D954&lt;&gt;"รายรับ"),0,E954)</f>
        <v>0</v>
      </c>
      <c r="I954" s="21" t="n">
        <f aca="false">IF(OR(E954="",D954&lt;&gt;"รายจ่าย"),0,E954)</f>
        <v>0</v>
      </c>
      <c r="J954" s="21" t="str">
        <f aca="false">IF(E954="","",ตั้งค่า!$B$4+SUM($H$5:H954)-SUM($I$5:I954))</f>
        <v/>
      </c>
      <c r="K954" s="22" t="str">
        <f aca="false">IF(A954="","",MONTH(A954))</f>
        <v/>
      </c>
      <c r="L954" s="22" t="str">
        <f aca="false">IF(A954="","",YEAR(A954))</f>
        <v/>
      </c>
    </row>
    <row r="955" customFormat="false" ht="15" hidden="false" customHeight="false" outlineLevel="0" collapsed="false">
      <c r="A955" s="23"/>
      <c r="B955" s="24"/>
      <c r="C955" s="24"/>
      <c r="D955" s="20" t="str">
        <f aca="false">IF(C955="","",IF(COUNTIF(ตั้งค่า!$A$7:$A$18,C955)&gt;0,"รายรับ",IF(COUNTIF(ตั้งค่า!$C$7:$C$31,C955)&gt;0,"รายจ่าย","ไม่พบหมวดหมู่")))</f>
        <v/>
      </c>
      <c r="E955" s="25"/>
      <c r="F955" s="24"/>
      <c r="G955" s="24"/>
      <c r="H955" s="21" t="n">
        <f aca="false">IF(OR(E955="",D955&lt;&gt;"รายรับ"),0,E955)</f>
        <v>0</v>
      </c>
      <c r="I955" s="21" t="n">
        <f aca="false">IF(OR(E955="",D955&lt;&gt;"รายจ่าย"),0,E955)</f>
        <v>0</v>
      </c>
      <c r="J955" s="21" t="str">
        <f aca="false">IF(E955="","",ตั้งค่า!$B$4+SUM($H$5:H955)-SUM($I$5:I955))</f>
        <v/>
      </c>
      <c r="K955" s="22" t="str">
        <f aca="false">IF(A955="","",MONTH(A955))</f>
        <v/>
      </c>
      <c r="L955" s="22" t="str">
        <f aca="false">IF(A955="","",YEAR(A955))</f>
        <v/>
      </c>
    </row>
    <row r="956" customFormat="false" ht="15" hidden="false" customHeight="false" outlineLevel="0" collapsed="false">
      <c r="A956" s="23"/>
      <c r="B956" s="24"/>
      <c r="C956" s="24"/>
      <c r="D956" s="20" t="str">
        <f aca="false">IF(C956="","",IF(COUNTIF(ตั้งค่า!$A$7:$A$18,C956)&gt;0,"รายรับ",IF(COUNTIF(ตั้งค่า!$C$7:$C$31,C956)&gt;0,"รายจ่าย","ไม่พบหมวดหมู่")))</f>
        <v/>
      </c>
      <c r="E956" s="25"/>
      <c r="F956" s="24"/>
      <c r="G956" s="24"/>
      <c r="H956" s="21" t="n">
        <f aca="false">IF(OR(E956="",D956&lt;&gt;"รายรับ"),0,E956)</f>
        <v>0</v>
      </c>
      <c r="I956" s="21" t="n">
        <f aca="false">IF(OR(E956="",D956&lt;&gt;"รายจ่าย"),0,E956)</f>
        <v>0</v>
      </c>
      <c r="J956" s="21" t="str">
        <f aca="false">IF(E956="","",ตั้งค่า!$B$4+SUM($H$5:H956)-SUM($I$5:I956))</f>
        <v/>
      </c>
      <c r="K956" s="22" t="str">
        <f aca="false">IF(A956="","",MONTH(A956))</f>
        <v/>
      </c>
      <c r="L956" s="22" t="str">
        <f aca="false">IF(A956="","",YEAR(A956))</f>
        <v/>
      </c>
    </row>
    <row r="957" customFormat="false" ht="15" hidden="false" customHeight="false" outlineLevel="0" collapsed="false">
      <c r="A957" s="23"/>
      <c r="B957" s="24"/>
      <c r="C957" s="24"/>
      <c r="D957" s="20" t="str">
        <f aca="false">IF(C957="","",IF(COUNTIF(ตั้งค่า!$A$7:$A$18,C957)&gt;0,"รายรับ",IF(COUNTIF(ตั้งค่า!$C$7:$C$31,C957)&gt;0,"รายจ่าย","ไม่พบหมวดหมู่")))</f>
        <v/>
      </c>
      <c r="E957" s="25"/>
      <c r="F957" s="24"/>
      <c r="G957" s="24"/>
      <c r="H957" s="21" t="n">
        <f aca="false">IF(OR(E957="",D957&lt;&gt;"รายรับ"),0,E957)</f>
        <v>0</v>
      </c>
      <c r="I957" s="21" t="n">
        <f aca="false">IF(OR(E957="",D957&lt;&gt;"รายจ่าย"),0,E957)</f>
        <v>0</v>
      </c>
      <c r="J957" s="21" t="str">
        <f aca="false">IF(E957="","",ตั้งค่า!$B$4+SUM($H$5:H957)-SUM($I$5:I957))</f>
        <v/>
      </c>
      <c r="K957" s="22" t="str">
        <f aca="false">IF(A957="","",MONTH(A957))</f>
        <v/>
      </c>
      <c r="L957" s="22" t="str">
        <f aca="false">IF(A957="","",YEAR(A957))</f>
        <v/>
      </c>
    </row>
    <row r="958" customFormat="false" ht="15" hidden="false" customHeight="false" outlineLevel="0" collapsed="false">
      <c r="A958" s="23"/>
      <c r="B958" s="24"/>
      <c r="C958" s="24"/>
      <c r="D958" s="20" t="str">
        <f aca="false">IF(C958="","",IF(COUNTIF(ตั้งค่า!$A$7:$A$18,C958)&gt;0,"รายรับ",IF(COUNTIF(ตั้งค่า!$C$7:$C$31,C958)&gt;0,"รายจ่าย","ไม่พบหมวดหมู่")))</f>
        <v/>
      </c>
      <c r="E958" s="25"/>
      <c r="F958" s="24"/>
      <c r="G958" s="24"/>
      <c r="H958" s="21" t="n">
        <f aca="false">IF(OR(E958="",D958&lt;&gt;"รายรับ"),0,E958)</f>
        <v>0</v>
      </c>
      <c r="I958" s="21" t="n">
        <f aca="false">IF(OR(E958="",D958&lt;&gt;"รายจ่าย"),0,E958)</f>
        <v>0</v>
      </c>
      <c r="J958" s="21" t="str">
        <f aca="false">IF(E958="","",ตั้งค่า!$B$4+SUM($H$5:H958)-SUM($I$5:I958))</f>
        <v/>
      </c>
      <c r="K958" s="22" t="str">
        <f aca="false">IF(A958="","",MONTH(A958))</f>
        <v/>
      </c>
      <c r="L958" s="22" t="str">
        <f aca="false">IF(A958="","",YEAR(A958))</f>
        <v/>
      </c>
    </row>
    <row r="959" customFormat="false" ht="15" hidden="false" customHeight="false" outlineLevel="0" collapsed="false">
      <c r="A959" s="23"/>
      <c r="B959" s="24"/>
      <c r="C959" s="24"/>
      <c r="D959" s="20" t="str">
        <f aca="false">IF(C959="","",IF(COUNTIF(ตั้งค่า!$A$7:$A$18,C959)&gt;0,"รายรับ",IF(COUNTIF(ตั้งค่า!$C$7:$C$31,C959)&gt;0,"รายจ่าย","ไม่พบหมวดหมู่")))</f>
        <v/>
      </c>
      <c r="E959" s="25"/>
      <c r="F959" s="24"/>
      <c r="G959" s="24"/>
      <c r="H959" s="21" t="n">
        <f aca="false">IF(OR(E959="",D959&lt;&gt;"รายรับ"),0,E959)</f>
        <v>0</v>
      </c>
      <c r="I959" s="21" t="n">
        <f aca="false">IF(OR(E959="",D959&lt;&gt;"รายจ่าย"),0,E959)</f>
        <v>0</v>
      </c>
      <c r="J959" s="21" t="str">
        <f aca="false">IF(E959="","",ตั้งค่า!$B$4+SUM($H$5:H959)-SUM($I$5:I959))</f>
        <v/>
      </c>
      <c r="K959" s="22" t="str">
        <f aca="false">IF(A959="","",MONTH(A959))</f>
        <v/>
      </c>
      <c r="L959" s="22" t="str">
        <f aca="false">IF(A959="","",YEAR(A959))</f>
        <v/>
      </c>
    </row>
    <row r="960" customFormat="false" ht="15" hidden="false" customHeight="false" outlineLevel="0" collapsed="false">
      <c r="A960" s="23"/>
      <c r="B960" s="24"/>
      <c r="C960" s="24"/>
      <c r="D960" s="20" t="str">
        <f aca="false">IF(C960="","",IF(COUNTIF(ตั้งค่า!$A$7:$A$18,C960)&gt;0,"รายรับ",IF(COUNTIF(ตั้งค่า!$C$7:$C$31,C960)&gt;0,"รายจ่าย","ไม่พบหมวดหมู่")))</f>
        <v/>
      </c>
      <c r="E960" s="25"/>
      <c r="F960" s="24"/>
      <c r="G960" s="24"/>
      <c r="H960" s="21" t="n">
        <f aca="false">IF(OR(E960="",D960&lt;&gt;"รายรับ"),0,E960)</f>
        <v>0</v>
      </c>
      <c r="I960" s="21" t="n">
        <f aca="false">IF(OR(E960="",D960&lt;&gt;"รายจ่าย"),0,E960)</f>
        <v>0</v>
      </c>
      <c r="J960" s="21" t="str">
        <f aca="false">IF(E960="","",ตั้งค่า!$B$4+SUM($H$5:H960)-SUM($I$5:I960))</f>
        <v/>
      </c>
      <c r="K960" s="22" t="str">
        <f aca="false">IF(A960="","",MONTH(A960))</f>
        <v/>
      </c>
      <c r="L960" s="22" t="str">
        <f aca="false">IF(A960="","",YEAR(A960))</f>
        <v/>
      </c>
    </row>
    <row r="961" customFormat="false" ht="15" hidden="false" customHeight="false" outlineLevel="0" collapsed="false">
      <c r="A961" s="23"/>
      <c r="B961" s="24"/>
      <c r="C961" s="24"/>
      <c r="D961" s="20" t="str">
        <f aca="false">IF(C961="","",IF(COUNTIF(ตั้งค่า!$A$7:$A$18,C961)&gt;0,"รายรับ",IF(COUNTIF(ตั้งค่า!$C$7:$C$31,C961)&gt;0,"รายจ่าย","ไม่พบหมวดหมู่")))</f>
        <v/>
      </c>
      <c r="E961" s="25"/>
      <c r="F961" s="24"/>
      <c r="G961" s="24"/>
      <c r="H961" s="21" t="n">
        <f aca="false">IF(OR(E961="",D961&lt;&gt;"รายรับ"),0,E961)</f>
        <v>0</v>
      </c>
      <c r="I961" s="21" t="n">
        <f aca="false">IF(OR(E961="",D961&lt;&gt;"รายจ่าย"),0,E961)</f>
        <v>0</v>
      </c>
      <c r="J961" s="21" t="str">
        <f aca="false">IF(E961="","",ตั้งค่า!$B$4+SUM($H$5:H961)-SUM($I$5:I961))</f>
        <v/>
      </c>
      <c r="K961" s="22" t="str">
        <f aca="false">IF(A961="","",MONTH(A961))</f>
        <v/>
      </c>
      <c r="L961" s="22" t="str">
        <f aca="false">IF(A961="","",YEAR(A961))</f>
        <v/>
      </c>
    </row>
    <row r="962" customFormat="false" ht="15" hidden="false" customHeight="false" outlineLevel="0" collapsed="false">
      <c r="A962" s="23"/>
      <c r="B962" s="24"/>
      <c r="C962" s="24"/>
      <c r="D962" s="20" t="str">
        <f aca="false">IF(C962="","",IF(COUNTIF(ตั้งค่า!$A$7:$A$18,C962)&gt;0,"รายรับ",IF(COUNTIF(ตั้งค่า!$C$7:$C$31,C962)&gt;0,"รายจ่าย","ไม่พบหมวดหมู่")))</f>
        <v/>
      </c>
      <c r="E962" s="25"/>
      <c r="F962" s="24"/>
      <c r="G962" s="24"/>
      <c r="H962" s="21" t="n">
        <f aca="false">IF(OR(E962="",D962&lt;&gt;"รายรับ"),0,E962)</f>
        <v>0</v>
      </c>
      <c r="I962" s="21" t="n">
        <f aca="false">IF(OR(E962="",D962&lt;&gt;"รายจ่าย"),0,E962)</f>
        <v>0</v>
      </c>
      <c r="J962" s="21" t="str">
        <f aca="false">IF(E962="","",ตั้งค่า!$B$4+SUM($H$5:H962)-SUM($I$5:I962))</f>
        <v/>
      </c>
      <c r="K962" s="22" t="str">
        <f aca="false">IF(A962="","",MONTH(A962))</f>
        <v/>
      </c>
      <c r="L962" s="22" t="str">
        <f aca="false">IF(A962="","",YEAR(A962))</f>
        <v/>
      </c>
    </row>
    <row r="963" customFormat="false" ht="15" hidden="false" customHeight="false" outlineLevel="0" collapsed="false">
      <c r="A963" s="23"/>
      <c r="B963" s="24"/>
      <c r="C963" s="24"/>
      <c r="D963" s="20" t="str">
        <f aca="false">IF(C963="","",IF(COUNTIF(ตั้งค่า!$A$7:$A$18,C963)&gt;0,"รายรับ",IF(COUNTIF(ตั้งค่า!$C$7:$C$31,C963)&gt;0,"รายจ่าย","ไม่พบหมวดหมู่")))</f>
        <v/>
      </c>
      <c r="E963" s="25"/>
      <c r="F963" s="24"/>
      <c r="G963" s="24"/>
      <c r="H963" s="21" t="n">
        <f aca="false">IF(OR(E963="",D963&lt;&gt;"รายรับ"),0,E963)</f>
        <v>0</v>
      </c>
      <c r="I963" s="21" t="n">
        <f aca="false">IF(OR(E963="",D963&lt;&gt;"รายจ่าย"),0,E963)</f>
        <v>0</v>
      </c>
      <c r="J963" s="21" t="str">
        <f aca="false">IF(E963="","",ตั้งค่า!$B$4+SUM($H$5:H963)-SUM($I$5:I963))</f>
        <v/>
      </c>
      <c r="K963" s="22" t="str">
        <f aca="false">IF(A963="","",MONTH(A963))</f>
        <v/>
      </c>
      <c r="L963" s="22" t="str">
        <f aca="false">IF(A963="","",YEAR(A963))</f>
        <v/>
      </c>
    </row>
    <row r="964" customFormat="false" ht="15" hidden="false" customHeight="false" outlineLevel="0" collapsed="false">
      <c r="A964" s="23"/>
      <c r="B964" s="24"/>
      <c r="C964" s="24"/>
      <c r="D964" s="20" t="str">
        <f aca="false">IF(C964="","",IF(COUNTIF(ตั้งค่า!$A$7:$A$18,C964)&gt;0,"รายรับ",IF(COUNTIF(ตั้งค่า!$C$7:$C$31,C964)&gt;0,"รายจ่าย","ไม่พบหมวดหมู่")))</f>
        <v/>
      </c>
      <c r="E964" s="25"/>
      <c r="F964" s="24"/>
      <c r="G964" s="24"/>
      <c r="H964" s="21" t="n">
        <f aca="false">IF(OR(E964="",D964&lt;&gt;"รายรับ"),0,E964)</f>
        <v>0</v>
      </c>
      <c r="I964" s="21" t="n">
        <f aca="false">IF(OR(E964="",D964&lt;&gt;"รายจ่าย"),0,E964)</f>
        <v>0</v>
      </c>
      <c r="J964" s="21" t="str">
        <f aca="false">IF(E964="","",ตั้งค่า!$B$4+SUM($H$5:H964)-SUM($I$5:I964))</f>
        <v/>
      </c>
      <c r="K964" s="22" t="str">
        <f aca="false">IF(A964="","",MONTH(A964))</f>
        <v/>
      </c>
      <c r="L964" s="22" t="str">
        <f aca="false">IF(A964="","",YEAR(A964))</f>
        <v/>
      </c>
    </row>
    <row r="965" customFormat="false" ht="15" hidden="false" customHeight="false" outlineLevel="0" collapsed="false">
      <c r="A965" s="23"/>
      <c r="B965" s="24"/>
      <c r="C965" s="24"/>
      <c r="D965" s="20" t="str">
        <f aca="false">IF(C965="","",IF(COUNTIF(ตั้งค่า!$A$7:$A$18,C965)&gt;0,"รายรับ",IF(COUNTIF(ตั้งค่า!$C$7:$C$31,C965)&gt;0,"รายจ่าย","ไม่พบหมวดหมู่")))</f>
        <v/>
      </c>
      <c r="E965" s="25"/>
      <c r="F965" s="24"/>
      <c r="G965" s="24"/>
      <c r="H965" s="21" t="n">
        <f aca="false">IF(OR(E965="",D965&lt;&gt;"รายรับ"),0,E965)</f>
        <v>0</v>
      </c>
      <c r="I965" s="21" t="n">
        <f aca="false">IF(OR(E965="",D965&lt;&gt;"รายจ่าย"),0,E965)</f>
        <v>0</v>
      </c>
      <c r="J965" s="21" t="str">
        <f aca="false">IF(E965="","",ตั้งค่า!$B$4+SUM($H$5:H965)-SUM($I$5:I965))</f>
        <v/>
      </c>
      <c r="K965" s="22" t="str">
        <f aca="false">IF(A965="","",MONTH(A965))</f>
        <v/>
      </c>
      <c r="L965" s="22" t="str">
        <f aca="false">IF(A965="","",YEAR(A965))</f>
        <v/>
      </c>
    </row>
    <row r="966" customFormat="false" ht="15" hidden="false" customHeight="false" outlineLevel="0" collapsed="false">
      <c r="A966" s="23"/>
      <c r="B966" s="24"/>
      <c r="C966" s="24"/>
      <c r="D966" s="20" t="str">
        <f aca="false">IF(C966="","",IF(COUNTIF(ตั้งค่า!$A$7:$A$18,C966)&gt;0,"รายรับ",IF(COUNTIF(ตั้งค่า!$C$7:$C$31,C966)&gt;0,"รายจ่าย","ไม่พบหมวดหมู่")))</f>
        <v/>
      </c>
      <c r="E966" s="25"/>
      <c r="F966" s="24"/>
      <c r="G966" s="24"/>
      <c r="H966" s="21" t="n">
        <f aca="false">IF(OR(E966="",D966&lt;&gt;"รายรับ"),0,E966)</f>
        <v>0</v>
      </c>
      <c r="I966" s="21" t="n">
        <f aca="false">IF(OR(E966="",D966&lt;&gt;"รายจ่าย"),0,E966)</f>
        <v>0</v>
      </c>
      <c r="J966" s="21" t="str">
        <f aca="false">IF(E966="","",ตั้งค่า!$B$4+SUM($H$5:H966)-SUM($I$5:I966))</f>
        <v/>
      </c>
      <c r="K966" s="22" t="str">
        <f aca="false">IF(A966="","",MONTH(A966))</f>
        <v/>
      </c>
      <c r="L966" s="22" t="str">
        <f aca="false">IF(A966="","",YEAR(A966))</f>
        <v/>
      </c>
    </row>
    <row r="967" customFormat="false" ht="15" hidden="false" customHeight="false" outlineLevel="0" collapsed="false">
      <c r="A967" s="23"/>
      <c r="B967" s="24"/>
      <c r="C967" s="24"/>
      <c r="D967" s="20" t="str">
        <f aca="false">IF(C967="","",IF(COUNTIF(ตั้งค่า!$A$7:$A$18,C967)&gt;0,"รายรับ",IF(COUNTIF(ตั้งค่า!$C$7:$C$31,C967)&gt;0,"รายจ่าย","ไม่พบหมวดหมู่")))</f>
        <v/>
      </c>
      <c r="E967" s="25"/>
      <c r="F967" s="24"/>
      <c r="G967" s="24"/>
      <c r="H967" s="21" t="n">
        <f aca="false">IF(OR(E967="",D967&lt;&gt;"รายรับ"),0,E967)</f>
        <v>0</v>
      </c>
      <c r="I967" s="21" t="n">
        <f aca="false">IF(OR(E967="",D967&lt;&gt;"รายจ่าย"),0,E967)</f>
        <v>0</v>
      </c>
      <c r="J967" s="21" t="str">
        <f aca="false">IF(E967="","",ตั้งค่า!$B$4+SUM($H$5:H967)-SUM($I$5:I967))</f>
        <v/>
      </c>
      <c r="K967" s="22" t="str">
        <f aca="false">IF(A967="","",MONTH(A967))</f>
        <v/>
      </c>
      <c r="L967" s="22" t="str">
        <f aca="false">IF(A967="","",YEAR(A967))</f>
        <v/>
      </c>
    </row>
    <row r="968" customFormat="false" ht="15" hidden="false" customHeight="false" outlineLevel="0" collapsed="false">
      <c r="A968" s="23"/>
      <c r="B968" s="24"/>
      <c r="C968" s="24"/>
      <c r="D968" s="20" t="str">
        <f aca="false">IF(C968="","",IF(COUNTIF(ตั้งค่า!$A$7:$A$18,C968)&gt;0,"รายรับ",IF(COUNTIF(ตั้งค่า!$C$7:$C$31,C968)&gt;0,"รายจ่าย","ไม่พบหมวดหมู่")))</f>
        <v/>
      </c>
      <c r="E968" s="25"/>
      <c r="F968" s="24"/>
      <c r="G968" s="24"/>
      <c r="H968" s="21" t="n">
        <f aca="false">IF(OR(E968="",D968&lt;&gt;"รายรับ"),0,E968)</f>
        <v>0</v>
      </c>
      <c r="I968" s="21" t="n">
        <f aca="false">IF(OR(E968="",D968&lt;&gt;"รายจ่าย"),0,E968)</f>
        <v>0</v>
      </c>
      <c r="J968" s="21" t="str">
        <f aca="false">IF(E968="","",ตั้งค่า!$B$4+SUM($H$5:H968)-SUM($I$5:I968))</f>
        <v/>
      </c>
      <c r="K968" s="22" t="str">
        <f aca="false">IF(A968="","",MONTH(A968))</f>
        <v/>
      </c>
      <c r="L968" s="22" t="str">
        <f aca="false">IF(A968="","",YEAR(A968))</f>
        <v/>
      </c>
    </row>
    <row r="969" customFormat="false" ht="15" hidden="false" customHeight="false" outlineLevel="0" collapsed="false">
      <c r="A969" s="23"/>
      <c r="B969" s="24"/>
      <c r="C969" s="24"/>
      <c r="D969" s="20" t="str">
        <f aca="false">IF(C969="","",IF(COUNTIF(ตั้งค่า!$A$7:$A$18,C969)&gt;0,"รายรับ",IF(COUNTIF(ตั้งค่า!$C$7:$C$31,C969)&gt;0,"รายจ่าย","ไม่พบหมวดหมู่")))</f>
        <v/>
      </c>
      <c r="E969" s="25"/>
      <c r="F969" s="24"/>
      <c r="G969" s="24"/>
      <c r="H969" s="21" t="n">
        <f aca="false">IF(OR(E969="",D969&lt;&gt;"รายรับ"),0,E969)</f>
        <v>0</v>
      </c>
      <c r="I969" s="21" t="n">
        <f aca="false">IF(OR(E969="",D969&lt;&gt;"รายจ่าย"),0,E969)</f>
        <v>0</v>
      </c>
      <c r="J969" s="21" t="str">
        <f aca="false">IF(E969="","",ตั้งค่า!$B$4+SUM($H$5:H969)-SUM($I$5:I969))</f>
        <v/>
      </c>
      <c r="K969" s="22" t="str">
        <f aca="false">IF(A969="","",MONTH(A969))</f>
        <v/>
      </c>
      <c r="L969" s="22" t="str">
        <f aca="false">IF(A969="","",YEAR(A969))</f>
        <v/>
      </c>
    </row>
    <row r="970" customFormat="false" ht="15" hidden="false" customHeight="false" outlineLevel="0" collapsed="false">
      <c r="A970" s="23"/>
      <c r="B970" s="24"/>
      <c r="C970" s="24"/>
      <c r="D970" s="20" t="str">
        <f aca="false">IF(C970="","",IF(COUNTIF(ตั้งค่า!$A$7:$A$18,C970)&gt;0,"รายรับ",IF(COUNTIF(ตั้งค่า!$C$7:$C$31,C970)&gt;0,"รายจ่าย","ไม่พบหมวดหมู่")))</f>
        <v/>
      </c>
      <c r="E970" s="25"/>
      <c r="F970" s="24"/>
      <c r="G970" s="24"/>
      <c r="H970" s="21" t="n">
        <f aca="false">IF(OR(E970="",D970&lt;&gt;"รายรับ"),0,E970)</f>
        <v>0</v>
      </c>
      <c r="I970" s="21" t="n">
        <f aca="false">IF(OR(E970="",D970&lt;&gt;"รายจ่าย"),0,E970)</f>
        <v>0</v>
      </c>
      <c r="J970" s="21" t="str">
        <f aca="false">IF(E970="","",ตั้งค่า!$B$4+SUM($H$5:H970)-SUM($I$5:I970))</f>
        <v/>
      </c>
      <c r="K970" s="22" t="str">
        <f aca="false">IF(A970="","",MONTH(A970))</f>
        <v/>
      </c>
      <c r="L970" s="22" t="str">
        <f aca="false">IF(A970="","",YEAR(A970))</f>
        <v/>
      </c>
    </row>
    <row r="971" customFormat="false" ht="15" hidden="false" customHeight="false" outlineLevel="0" collapsed="false">
      <c r="A971" s="23"/>
      <c r="B971" s="24"/>
      <c r="C971" s="24"/>
      <c r="D971" s="20" t="str">
        <f aca="false">IF(C971="","",IF(COUNTIF(ตั้งค่า!$A$7:$A$18,C971)&gt;0,"รายรับ",IF(COUNTIF(ตั้งค่า!$C$7:$C$31,C971)&gt;0,"รายจ่าย","ไม่พบหมวดหมู่")))</f>
        <v/>
      </c>
      <c r="E971" s="25"/>
      <c r="F971" s="24"/>
      <c r="G971" s="24"/>
      <c r="H971" s="21" t="n">
        <f aca="false">IF(OR(E971="",D971&lt;&gt;"รายรับ"),0,E971)</f>
        <v>0</v>
      </c>
      <c r="I971" s="21" t="n">
        <f aca="false">IF(OR(E971="",D971&lt;&gt;"รายจ่าย"),0,E971)</f>
        <v>0</v>
      </c>
      <c r="J971" s="21" t="str">
        <f aca="false">IF(E971="","",ตั้งค่า!$B$4+SUM($H$5:H971)-SUM($I$5:I971))</f>
        <v/>
      </c>
      <c r="K971" s="22" t="str">
        <f aca="false">IF(A971="","",MONTH(A971))</f>
        <v/>
      </c>
      <c r="L971" s="22" t="str">
        <f aca="false">IF(A971="","",YEAR(A971))</f>
        <v/>
      </c>
    </row>
    <row r="972" customFormat="false" ht="15" hidden="false" customHeight="false" outlineLevel="0" collapsed="false">
      <c r="A972" s="23"/>
      <c r="B972" s="24"/>
      <c r="C972" s="24"/>
      <c r="D972" s="20" t="str">
        <f aca="false">IF(C972="","",IF(COUNTIF(ตั้งค่า!$A$7:$A$18,C972)&gt;0,"รายรับ",IF(COUNTIF(ตั้งค่า!$C$7:$C$31,C972)&gt;0,"รายจ่าย","ไม่พบหมวดหมู่")))</f>
        <v/>
      </c>
      <c r="E972" s="25"/>
      <c r="F972" s="24"/>
      <c r="G972" s="24"/>
      <c r="H972" s="21" t="n">
        <f aca="false">IF(OR(E972="",D972&lt;&gt;"รายรับ"),0,E972)</f>
        <v>0</v>
      </c>
      <c r="I972" s="21" t="n">
        <f aca="false">IF(OR(E972="",D972&lt;&gt;"รายจ่าย"),0,E972)</f>
        <v>0</v>
      </c>
      <c r="J972" s="21" t="str">
        <f aca="false">IF(E972="","",ตั้งค่า!$B$4+SUM($H$5:H972)-SUM($I$5:I972))</f>
        <v/>
      </c>
      <c r="K972" s="22" t="str">
        <f aca="false">IF(A972="","",MONTH(A972))</f>
        <v/>
      </c>
      <c r="L972" s="22" t="str">
        <f aca="false">IF(A972="","",YEAR(A972))</f>
        <v/>
      </c>
    </row>
    <row r="973" customFormat="false" ht="15" hidden="false" customHeight="false" outlineLevel="0" collapsed="false">
      <c r="A973" s="23"/>
      <c r="B973" s="24"/>
      <c r="C973" s="24"/>
      <c r="D973" s="20" t="str">
        <f aca="false">IF(C973="","",IF(COUNTIF(ตั้งค่า!$A$7:$A$18,C973)&gt;0,"รายรับ",IF(COUNTIF(ตั้งค่า!$C$7:$C$31,C973)&gt;0,"รายจ่าย","ไม่พบหมวดหมู่")))</f>
        <v/>
      </c>
      <c r="E973" s="25"/>
      <c r="F973" s="24"/>
      <c r="G973" s="24"/>
      <c r="H973" s="21" t="n">
        <f aca="false">IF(OR(E973="",D973&lt;&gt;"รายรับ"),0,E973)</f>
        <v>0</v>
      </c>
      <c r="I973" s="21" t="n">
        <f aca="false">IF(OR(E973="",D973&lt;&gt;"รายจ่าย"),0,E973)</f>
        <v>0</v>
      </c>
      <c r="J973" s="21" t="str">
        <f aca="false">IF(E973="","",ตั้งค่า!$B$4+SUM($H$5:H973)-SUM($I$5:I973))</f>
        <v/>
      </c>
      <c r="K973" s="22" t="str">
        <f aca="false">IF(A973="","",MONTH(A973))</f>
        <v/>
      </c>
      <c r="L973" s="22" t="str">
        <f aca="false">IF(A973="","",YEAR(A973))</f>
        <v/>
      </c>
    </row>
    <row r="974" customFormat="false" ht="15" hidden="false" customHeight="false" outlineLevel="0" collapsed="false">
      <c r="A974" s="23"/>
      <c r="B974" s="24"/>
      <c r="C974" s="24"/>
      <c r="D974" s="20" t="str">
        <f aca="false">IF(C974="","",IF(COUNTIF(ตั้งค่า!$A$7:$A$18,C974)&gt;0,"รายรับ",IF(COUNTIF(ตั้งค่า!$C$7:$C$31,C974)&gt;0,"รายจ่าย","ไม่พบหมวดหมู่")))</f>
        <v/>
      </c>
      <c r="E974" s="25"/>
      <c r="F974" s="24"/>
      <c r="G974" s="24"/>
      <c r="H974" s="21" t="n">
        <f aca="false">IF(OR(E974="",D974&lt;&gt;"รายรับ"),0,E974)</f>
        <v>0</v>
      </c>
      <c r="I974" s="21" t="n">
        <f aca="false">IF(OR(E974="",D974&lt;&gt;"รายจ่าย"),0,E974)</f>
        <v>0</v>
      </c>
      <c r="J974" s="21" t="str">
        <f aca="false">IF(E974="","",ตั้งค่า!$B$4+SUM($H$5:H974)-SUM($I$5:I974))</f>
        <v/>
      </c>
      <c r="K974" s="22" t="str">
        <f aca="false">IF(A974="","",MONTH(A974))</f>
        <v/>
      </c>
      <c r="L974" s="22" t="str">
        <f aca="false">IF(A974="","",YEAR(A974))</f>
        <v/>
      </c>
    </row>
    <row r="975" customFormat="false" ht="15" hidden="false" customHeight="false" outlineLevel="0" collapsed="false">
      <c r="A975" s="23"/>
      <c r="B975" s="24"/>
      <c r="C975" s="24"/>
      <c r="D975" s="20" t="str">
        <f aca="false">IF(C975="","",IF(COUNTIF(ตั้งค่า!$A$7:$A$18,C975)&gt;0,"รายรับ",IF(COUNTIF(ตั้งค่า!$C$7:$C$31,C975)&gt;0,"รายจ่าย","ไม่พบหมวดหมู่")))</f>
        <v/>
      </c>
      <c r="E975" s="25"/>
      <c r="F975" s="24"/>
      <c r="G975" s="24"/>
      <c r="H975" s="21" t="n">
        <f aca="false">IF(OR(E975="",D975&lt;&gt;"รายรับ"),0,E975)</f>
        <v>0</v>
      </c>
      <c r="I975" s="21" t="n">
        <f aca="false">IF(OR(E975="",D975&lt;&gt;"รายจ่าย"),0,E975)</f>
        <v>0</v>
      </c>
      <c r="J975" s="21" t="str">
        <f aca="false">IF(E975="","",ตั้งค่า!$B$4+SUM($H$5:H975)-SUM($I$5:I975))</f>
        <v/>
      </c>
      <c r="K975" s="22" t="str">
        <f aca="false">IF(A975="","",MONTH(A975))</f>
        <v/>
      </c>
      <c r="L975" s="22" t="str">
        <f aca="false">IF(A975="","",YEAR(A975))</f>
        <v/>
      </c>
    </row>
    <row r="976" customFormat="false" ht="15" hidden="false" customHeight="false" outlineLevel="0" collapsed="false">
      <c r="A976" s="23"/>
      <c r="B976" s="24"/>
      <c r="C976" s="24"/>
      <c r="D976" s="20" t="str">
        <f aca="false">IF(C976="","",IF(COUNTIF(ตั้งค่า!$A$7:$A$18,C976)&gt;0,"รายรับ",IF(COUNTIF(ตั้งค่า!$C$7:$C$31,C976)&gt;0,"รายจ่าย","ไม่พบหมวดหมู่")))</f>
        <v/>
      </c>
      <c r="E976" s="25"/>
      <c r="F976" s="24"/>
      <c r="G976" s="24"/>
      <c r="H976" s="21" t="n">
        <f aca="false">IF(OR(E976="",D976&lt;&gt;"รายรับ"),0,E976)</f>
        <v>0</v>
      </c>
      <c r="I976" s="21" t="n">
        <f aca="false">IF(OR(E976="",D976&lt;&gt;"รายจ่าย"),0,E976)</f>
        <v>0</v>
      </c>
      <c r="J976" s="21" t="str">
        <f aca="false">IF(E976="","",ตั้งค่า!$B$4+SUM($H$5:H976)-SUM($I$5:I976))</f>
        <v/>
      </c>
      <c r="K976" s="22" t="str">
        <f aca="false">IF(A976="","",MONTH(A976))</f>
        <v/>
      </c>
      <c r="L976" s="22" t="str">
        <f aca="false">IF(A976="","",YEAR(A976))</f>
        <v/>
      </c>
    </row>
    <row r="977" customFormat="false" ht="15" hidden="false" customHeight="false" outlineLevel="0" collapsed="false">
      <c r="A977" s="23"/>
      <c r="B977" s="24"/>
      <c r="C977" s="24"/>
      <c r="D977" s="20" t="str">
        <f aca="false">IF(C977="","",IF(COUNTIF(ตั้งค่า!$A$7:$A$18,C977)&gt;0,"รายรับ",IF(COUNTIF(ตั้งค่า!$C$7:$C$31,C977)&gt;0,"รายจ่าย","ไม่พบหมวดหมู่")))</f>
        <v/>
      </c>
      <c r="E977" s="25"/>
      <c r="F977" s="24"/>
      <c r="G977" s="24"/>
      <c r="H977" s="21" t="n">
        <f aca="false">IF(OR(E977="",D977&lt;&gt;"รายรับ"),0,E977)</f>
        <v>0</v>
      </c>
      <c r="I977" s="21" t="n">
        <f aca="false">IF(OR(E977="",D977&lt;&gt;"รายจ่าย"),0,E977)</f>
        <v>0</v>
      </c>
      <c r="J977" s="21" t="str">
        <f aca="false">IF(E977="","",ตั้งค่า!$B$4+SUM($H$5:H977)-SUM($I$5:I977))</f>
        <v/>
      </c>
      <c r="K977" s="22" t="str">
        <f aca="false">IF(A977="","",MONTH(A977))</f>
        <v/>
      </c>
      <c r="L977" s="22" t="str">
        <f aca="false">IF(A977="","",YEAR(A977))</f>
        <v/>
      </c>
    </row>
    <row r="978" customFormat="false" ht="15" hidden="false" customHeight="false" outlineLevel="0" collapsed="false">
      <c r="A978" s="23"/>
      <c r="B978" s="24"/>
      <c r="C978" s="24"/>
      <c r="D978" s="20" t="str">
        <f aca="false">IF(C978="","",IF(COUNTIF(ตั้งค่า!$A$7:$A$18,C978)&gt;0,"รายรับ",IF(COUNTIF(ตั้งค่า!$C$7:$C$31,C978)&gt;0,"รายจ่าย","ไม่พบหมวดหมู่")))</f>
        <v/>
      </c>
      <c r="E978" s="25"/>
      <c r="F978" s="24"/>
      <c r="G978" s="24"/>
      <c r="H978" s="21" t="n">
        <f aca="false">IF(OR(E978="",D978&lt;&gt;"รายรับ"),0,E978)</f>
        <v>0</v>
      </c>
      <c r="I978" s="21" t="n">
        <f aca="false">IF(OR(E978="",D978&lt;&gt;"รายจ่าย"),0,E978)</f>
        <v>0</v>
      </c>
      <c r="J978" s="21" t="str">
        <f aca="false">IF(E978="","",ตั้งค่า!$B$4+SUM($H$5:H978)-SUM($I$5:I978))</f>
        <v/>
      </c>
      <c r="K978" s="22" t="str">
        <f aca="false">IF(A978="","",MONTH(A978))</f>
        <v/>
      </c>
      <c r="L978" s="22" t="str">
        <f aca="false">IF(A978="","",YEAR(A978))</f>
        <v/>
      </c>
    </row>
    <row r="979" customFormat="false" ht="15" hidden="false" customHeight="false" outlineLevel="0" collapsed="false">
      <c r="A979" s="23"/>
      <c r="B979" s="24"/>
      <c r="C979" s="24"/>
      <c r="D979" s="20" t="str">
        <f aca="false">IF(C979="","",IF(COUNTIF(ตั้งค่า!$A$7:$A$18,C979)&gt;0,"รายรับ",IF(COUNTIF(ตั้งค่า!$C$7:$C$31,C979)&gt;0,"รายจ่าย","ไม่พบหมวดหมู่")))</f>
        <v/>
      </c>
      <c r="E979" s="25"/>
      <c r="F979" s="24"/>
      <c r="G979" s="24"/>
      <c r="H979" s="21" t="n">
        <f aca="false">IF(OR(E979="",D979&lt;&gt;"รายรับ"),0,E979)</f>
        <v>0</v>
      </c>
      <c r="I979" s="21" t="n">
        <f aca="false">IF(OR(E979="",D979&lt;&gt;"รายจ่าย"),0,E979)</f>
        <v>0</v>
      </c>
      <c r="J979" s="21" t="str">
        <f aca="false">IF(E979="","",ตั้งค่า!$B$4+SUM($H$5:H979)-SUM($I$5:I979))</f>
        <v/>
      </c>
      <c r="K979" s="22" t="str">
        <f aca="false">IF(A979="","",MONTH(A979))</f>
        <v/>
      </c>
      <c r="L979" s="22" t="str">
        <f aca="false">IF(A979="","",YEAR(A979))</f>
        <v/>
      </c>
    </row>
    <row r="980" customFormat="false" ht="15" hidden="false" customHeight="false" outlineLevel="0" collapsed="false">
      <c r="A980" s="23"/>
      <c r="B980" s="24"/>
      <c r="C980" s="24"/>
      <c r="D980" s="20" t="str">
        <f aca="false">IF(C980="","",IF(COUNTIF(ตั้งค่า!$A$7:$A$18,C980)&gt;0,"รายรับ",IF(COUNTIF(ตั้งค่า!$C$7:$C$31,C980)&gt;0,"รายจ่าย","ไม่พบหมวดหมู่")))</f>
        <v/>
      </c>
      <c r="E980" s="25"/>
      <c r="F980" s="24"/>
      <c r="G980" s="24"/>
      <c r="H980" s="21" t="n">
        <f aca="false">IF(OR(E980="",D980&lt;&gt;"รายรับ"),0,E980)</f>
        <v>0</v>
      </c>
      <c r="I980" s="21" t="n">
        <f aca="false">IF(OR(E980="",D980&lt;&gt;"รายจ่าย"),0,E980)</f>
        <v>0</v>
      </c>
      <c r="J980" s="21" t="str">
        <f aca="false">IF(E980="","",ตั้งค่า!$B$4+SUM($H$5:H980)-SUM($I$5:I980))</f>
        <v/>
      </c>
      <c r="K980" s="22" t="str">
        <f aca="false">IF(A980="","",MONTH(A980))</f>
        <v/>
      </c>
      <c r="L980" s="22" t="str">
        <f aca="false">IF(A980="","",YEAR(A980))</f>
        <v/>
      </c>
    </row>
    <row r="981" customFormat="false" ht="15" hidden="false" customHeight="false" outlineLevel="0" collapsed="false">
      <c r="A981" s="23"/>
      <c r="B981" s="24"/>
      <c r="C981" s="24"/>
      <c r="D981" s="20" t="str">
        <f aca="false">IF(C981="","",IF(COUNTIF(ตั้งค่า!$A$7:$A$18,C981)&gt;0,"รายรับ",IF(COUNTIF(ตั้งค่า!$C$7:$C$31,C981)&gt;0,"รายจ่าย","ไม่พบหมวดหมู่")))</f>
        <v/>
      </c>
      <c r="E981" s="25"/>
      <c r="F981" s="24"/>
      <c r="G981" s="24"/>
      <c r="H981" s="21" t="n">
        <f aca="false">IF(OR(E981="",D981&lt;&gt;"รายรับ"),0,E981)</f>
        <v>0</v>
      </c>
      <c r="I981" s="21" t="n">
        <f aca="false">IF(OR(E981="",D981&lt;&gt;"รายจ่าย"),0,E981)</f>
        <v>0</v>
      </c>
      <c r="J981" s="21" t="str">
        <f aca="false">IF(E981="","",ตั้งค่า!$B$4+SUM($H$5:H981)-SUM($I$5:I981))</f>
        <v/>
      </c>
      <c r="K981" s="22" t="str">
        <f aca="false">IF(A981="","",MONTH(A981))</f>
        <v/>
      </c>
      <c r="L981" s="22" t="str">
        <f aca="false">IF(A981="","",YEAR(A981))</f>
        <v/>
      </c>
    </row>
    <row r="982" customFormat="false" ht="15" hidden="false" customHeight="false" outlineLevel="0" collapsed="false">
      <c r="A982" s="23"/>
      <c r="B982" s="24"/>
      <c r="C982" s="24"/>
      <c r="D982" s="20" t="str">
        <f aca="false">IF(C982="","",IF(COUNTIF(ตั้งค่า!$A$7:$A$18,C982)&gt;0,"รายรับ",IF(COUNTIF(ตั้งค่า!$C$7:$C$31,C982)&gt;0,"รายจ่าย","ไม่พบหมวดหมู่")))</f>
        <v/>
      </c>
      <c r="E982" s="25"/>
      <c r="F982" s="24"/>
      <c r="G982" s="24"/>
      <c r="H982" s="21" t="n">
        <f aca="false">IF(OR(E982="",D982&lt;&gt;"รายรับ"),0,E982)</f>
        <v>0</v>
      </c>
      <c r="I982" s="21" t="n">
        <f aca="false">IF(OR(E982="",D982&lt;&gt;"รายจ่าย"),0,E982)</f>
        <v>0</v>
      </c>
      <c r="J982" s="21" t="str">
        <f aca="false">IF(E982="","",ตั้งค่า!$B$4+SUM($H$5:H982)-SUM($I$5:I982))</f>
        <v/>
      </c>
      <c r="K982" s="22" t="str">
        <f aca="false">IF(A982="","",MONTH(A982))</f>
        <v/>
      </c>
      <c r="L982" s="22" t="str">
        <f aca="false">IF(A982="","",YEAR(A982))</f>
        <v/>
      </c>
    </row>
    <row r="983" customFormat="false" ht="15" hidden="false" customHeight="false" outlineLevel="0" collapsed="false">
      <c r="A983" s="23"/>
      <c r="B983" s="24"/>
      <c r="C983" s="24"/>
      <c r="D983" s="20" t="str">
        <f aca="false">IF(C983="","",IF(COUNTIF(ตั้งค่า!$A$7:$A$18,C983)&gt;0,"รายรับ",IF(COUNTIF(ตั้งค่า!$C$7:$C$31,C983)&gt;0,"รายจ่าย","ไม่พบหมวดหมู่")))</f>
        <v/>
      </c>
      <c r="E983" s="25"/>
      <c r="F983" s="24"/>
      <c r="G983" s="24"/>
      <c r="H983" s="21" t="n">
        <f aca="false">IF(OR(E983="",D983&lt;&gt;"รายรับ"),0,E983)</f>
        <v>0</v>
      </c>
      <c r="I983" s="21" t="n">
        <f aca="false">IF(OR(E983="",D983&lt;&gt;"รายจ่าย"),0,E983)</f>
        <v>0</v>
      </c>
      <c r="J983" s="21" t="str">
        <f aca="false">IF(E983="","",ตั้งค่า!$B$4+SUM($H$5:H983)-SUM($I$5:I983))</f>
        <v/>
      </c>
      <c r="K983" s="22" t="str">
        <f aca="false">IF(A983="","",MONTH(A983))</f>
        <v/>
      </c>
      <c r="L983" s="22" t="str">
        <f aca="false">IF(A983="","",YEAR(A983))</f>
        <v/>
      </c>
    </row>
    <row r="984" customFormat="false" ht="15" hidden="false" customHeight="false" outlineLevel="0" collapsed="false">
      <c r="A984" s="23"/>
      <c r="B984" s="24"/>
      <c r="C984" s="24"/>
      <c r="D984" s="20" t="str">
        <f aca="false">IF(C984="","",IF(COUNTIF(ตั้งค่า!$A$7:$A$18,C984)&gt;0,"รายรับ",IF(COUNTIF(ตั้งค่า!$C$7:$C$31,C984)&gt;0,"รายจ่าย","ไม่พบหมวดหมู่")))</f>
        <v/>
      </c>
      <c r="E984" s="25"/>
      <c r="F984" s="24"/>
      <c r="G984" s="24"/>
      <c r="H984" s="21" t="n">
        <f aca="false">IF(OR(E984="",D984&lt;&gt;"รายรับ"),0,E984)</f>
        <v>0</v>
      </c>
      <c r="I984" s="21" t="n">
        <f aca="false">IF(OR(E984="",D984&lt;&gt;"รายจ่าย"),0,E984)</f>
        <v>0</v>
      </c>
      <c r="J984" s="21" t="str">
        <f aca="false">IF(E984="","",ตั้งค่า!$B$4+SUM($H$5:H984)-SUM($I$5:I984))</f>
        <v/>
      </c>
      <c r="K984" s="22" t="str">
        <f aca="false">IF(A984="","",MONTH(A984))</f>
        <v/>
      </c>
      <c r="L984" s="22" t="str">
        <f aca="false">IF(A984="","",YEAR(A984))</f>
        <v/>
      </c>
    </row>
    <row r="985" customFormat="false" ht="15" hidden="false" customHeight="false" outlineLevel="0" collapsed="false">
      <c r="A985" s="23"/>
      <c r="B985" s="24"/>
      <c r="C985" s="24"/>
      <c r="D985" s="20" t="str">
        <f aca="false">IF(C985="","",IF(COUNTIF(ตั้งค่า!$A$7:$A$18,C985)&gt;0,"รายรับ",IF(COUNTIF(ตั้งค่า!$C$7:$C$31,C985)&gt;0,"รายจ่าย","ไม่พบหมวดหมู่")))</f>
        <v/>
      </c>
      <c r="E985" s="25"/>
      <c r="F985" s="24"/>
      <c r="G985" s="24"/>
      <c r="H985" s="21" t="n">
        <f aca="false">IF(OR(E985="",D985&lt;&gt;"รายรับ"),0,E985)</f>
        <v>0</v>
      </c>
      <c r="I985" s="21" t="n">
        <f aca="false">IF(OR(E985="",D985&lt;&gt;"รายจ่าย"),0,E985)</f>
        <v>0</v>
      </c>
      <c r="J985" s="21" t="str">
        <f aca="false">IF(E985="","",ตั้งค่า!$B$4+SUM($H$5:H985)-SUM($I$5:I985))</f>
        <v/>
      </c>
      <c r="K985" s="22" t="str">
        <f aca="false">IF(A985="","",MONTH(A985))</f>
        <v/>
      </c>
      <c r="L985" s="22" t="str">
        <f aca="false">IF(A985="","",YEAR(A985))</f>
        <v/>
      </c>
    </row>
    <row r="986" customFormat="false" ht="15" hidden="false" customHeight="false" outlineLevel="0" collapsed="false">
      <c r="A986" s="23"/>
      <c r="B986" s="24"/>
      <c r="C986" s="24"/>
      <c r="D986" s="20" t="str">
        <f aca="false">IF(C986="","",IF(COUNTIF(ตั้งค่า!$A$7:$A$18,C986)&gt;0,"รายรับ",IF(COUNTIF(ตั้งค่า!$C$7:$C$31,C986)&gt;0,"รายจ่าย","ไม่พบหมวดหมู่")))</f>
        <v/>
      </c>
      <c r="E986" s="25"/>
      <c r="F986" s="24"/>
      <c r="G986" s="24"/>
      <c r="H986" s="21" t="n">
        <f aca="false">IF(OR(E986="",D986&lt;&gt;"รายรับ"),0,E986)</f>
        <v>0</v>
      </c>
      <c r="I986" s="21" t="n">
        <f aca="false">IF(OR(E986="",D986&lt;&gt;"รายจ่าย"),0,E986)</f>
        <v>0</v>
      </c>
      <c r="J986" s="21" t="str">
        <f aca="false">IF(E986="","",ตั้งค่า!$B$4+SUM($H$5:H986)-SUM($I$5:I986))</f>
        <v/>
      </c>
      <c r="K986" s="22" t="str">
        <f aca="false">IF(A986="","",MONTH(A986))</f>
        <v/>
      </c>
      <c r="L986" s="22" t="str">
        <f aca="false">IF(A986="","",YEAR(A986))</f>
        <v/>
      </c>
    </row>
    <row r="987" customFormat="false" ht="15" hidden="false" customHeight="false" outlineLevel="0" collapsed="false">
      <c r="A987" s="23"/>
      <c r="B987" s="24"/>
      <c r="C987" s="24"/>
      <c r="D987" s="20" t="str">
        <f aca="false">IF(C987="","",IF(COUNTIF(ตั้งค่า!$A$7:$A$18,C987)&gt;0,"รายรับ",IF(COUNTIF(ตั้งค่า!$C$7:$C$31,C987)&gt;0,"รายจ่าย","ไม่พบหมวดหมู่")))</f>
        <v/>
      </c>
      <c r="E987" s="25"/>
      <c r="F987" s="24"/>
      <c r="G987" s="24"/>
      <c r="H987" s="21" t="n">
        <f aca="false">IF(OR(E987="",D987&lt;&gt;"รายรับ"),0,E987)</f>
        <v>0</v>
      </c>
      <c r="I987" s="21" t="n">
        <f aca="false">IF(OR(E987="",D987&lt;&gt;"รายจ่าย"),0,E987)</f>
        <v>0</v>
      </c>
      <c r="J987" s="21" t="str">
        <f aca="false">IF(E987="","",ตั้งค่า!$B$4+SUM($H$5:H987)-SUM($I$5:I987))</f>
        <v/>
      </c>
      <c r="K987" s="22" t="str">
        <f aca="false">IF(A987="","",MONTH(A987))</f>
        <v/>
      </c>
      <c r="L987" s="22" t="str">
        <f aca="false">IF(A987="","",YEAR(A987))</f>
        <v/>
      </c>
    </row>
    <row r="988" customFormat="false" ht="15" hidden="false" customHeight="false" outlineLevel="0" collapsed="false">
      <c r="A988" s="23"/>
      <c r="B988" s="24"/>
      <c r="C988" s="24"/>
      <c r="D988" s="20" t="str">
        <f aca="false">IF(C988="","",IF(COUNTIF(ตั้งค่า!$A$7:$A$18,C988)&gt;0,"รายรับ",IF(COUNTIF(ตั้งค่า!$C$7:$C$31,C988)&gt;0,"รายจ่าย","ไม่พบหมวดหมู่")))</f>
        <v/>
      </c>
      <c r="E988" s="25"/>
      <c r="F988" s="24"/>
      <c r="G988" s="24"/>
      <c r="H988" s="21" t="n">
        <f aca="false">IF(OR(E988="",D988&lt;&gt;"รายรับ"),0,E988)</f>
        <v>0</v>
      </c>
      <c r="I988" s="21" t="n">
        <f aca="false">IF(OR(E988="",D988&lt;&gt;"รายจ่าย"),0,E988)</f>
        <v>0</v>
      </c>
      <c r="J988" s="21" t="str">
        <f aca="false">IF(E988="","",ตั้งค่า!$B$4+SUM($H$5:H988)-SUM($I$5:I988))</f>
        <v/>
      </c>
      <c r="K988" s="22" t="str">
        <f aca="false">IF(A988="","",MONTH(A988))</f>
        <v/>
      </c>
      <c r="L988" s="22" t="str">
        <f aca="false">IF(A988="","",YEAR(A988))</f>
        <v/>
      </c>
    </row>
    <row r="989" customFormat="false" ht="15" hidden="false" customHeight="false" outlineLevel="0" collapsed="false">
      <c r="A989" s="23"/>
      <c r="B989" s="24"/>
      <c r="C989" s="24"/>
      <c r="D989" s="20" t="str">
        <f aca="false">IF(C989="","",IF(COUNTIF(ตั้งค่า!$A$7:$A$18,C989)&gt;0,"รายรับ",IF(COUNTIF(ตั้งค่า!$C$7:$C$31,C989)&gt;0,"รายจ่าย","ไม่พบหมวดหมู่")))</f>
        <v/>
      </c>
      <c r="E989" s="25"/>
      <c r="F989" s="24"/>
      <c r="G989" s="24"/>
      <c r="H989" s="21" t="n">
        <f aca="false">IF(OR(E989="",D989&lt;&gt;"รายรับ"),0,E989)</f>
        <v>0</v>
      </c>
      <c r="I989" s="21" t="n">
        <f aca="false">IF(OR(E989="",D989&lt;&gt;"รายจ่าย"),0,E989)</f>
        <v>0</v>
      </c>
      <c r="J989" s="21" t="str">
        <f aca="false">IF(E989="","",ตั้งค่า!$B$4+SUM($H$5:H989)-SUM($I$5:I989))</f>
        <v/>
      </c>
      <c r="K989" s="22" t="str">
        <f aca="false">IF(A989="","",MONTH(A989))</f>
        <v/>
      </c>
      <c r="L989" s="22" t="str">
        <f aca="false">IF(A989="","",YEAR(A989))</f>
        <v/>
      </c>
    </row>
    <row r="990" customFormat="false" ht="15" hidden="false" customHeight="false" outlineLevel="0" collapsed="false">
      <c r="A990" s="23"/>
      <c r="B990" s="24"/>
      <c r="C990" s="24"/>
      <c r="D990" s="20" t="str">
        <f aca="false">IF(C990="","",IF(COUNTIF(ตั้งค่า!$A$7:$A$18,C990)&gt;0,"รายรับ",IF(COUNTIF(ตั้งค่า!$C$7:$C$31,C990)&gt;0,"รายจ่าย","ไม่พบหมวดหมู่")))</f>
        <v/>
      </c>
      <c r="E990" s="25"/>
      <c r="F990" s="24"/>
      <c r="G990" s="24"/>
      <c r="H990" s="21" t="n">
        <f aca="false">IF(OR(E990="",D990&lt;&gt;"รายรับ"),0,E990)</f>
        <v>0</v>
      </c>
      <c r="I990" s="21" t="n">
        <f aca="false">IF(OR(E990="",D990&lt;&gt;"รายจ่าย"),0,E990)</f>
        <v>0</v>
      </c>
      <c r="J990" s="21" t="str">
        <f aca="false">IF(E990="","",ตั้งค่า!$B$4+SUM($H$5:H990)-SUM($I$5:I990))</f>
        <v/>
      </c>
      <c r="K990" s="22" t="str">
        <f aca="false">IF(A990="","",MONTH(A990))</f>
        <v/>
      </c>
      <c r="L990" s="22" t="str">
        <f aca="false">IF(A990="","",YEAR(A990))</f>
        <v/>
      </c>
    </row>
    <row r="991" customFormat="false" ht="15" hidden="false" customHeight="false" outlineLevel="0" collapsed="false">
      <c r="A991" s="23"/>
      <c r="B991" s="24"/>
      <c r="C991" s="24"/>
      <c r="D991" s="20" t="str">
        <f aca="false">IF(C991="","",IF(COUNTIF(ตั้งค่า!$A$7:$A$18,C991)&gt;0,"รายรับ",IF(COUNTIF(ตั้งค่า!$C$7:$C$31,C991)&gt;0,"รายจ่าย","ไม่พบหมวดหมู่")))</f>
        <v/>
      </c>
      <c r="E991" s="25"/>
      <c r="F991" s="24"/>
      <c r="G991" s="24"/>
      <c r="H991" s="21" t="n">
        <f aca="false">IF(OR(E991="",D991&lt;&gt;"รายรับ"),0,E991)</f>
        <v>0</v>
      </c>
      <c r="I991" s="21" t="n">
        <f aca="false">IF(OR(E991="",D991&lt;&gt;"รายจ่าย"),0,E991)</f>
        <v>0</v>
      </c>
      <c r="J991" s="21" t="str">
        <f aca="false">IF(E991="","",ตั้งค่า!$B$4+SUM($H$5:H991)-SUM($I$5:I991))</f>
        <v/>
      </c>
      <c r="K991" s="22" t="str">
        <f aca="false">IF(A991="","",MONTH(A991))</f>
        <v/>
      </c>
      <c r="L991" s="22" t="str">
        <f aca="false">IF(A991="","",YEAR(A991))</f>
        <v/>
      </c>
    </row>
    <row r="992" customFormat="false" ht="15" hidden="false" customHeight="false" outlineLevel="0" collapsed="false">
      <c r="A992" s="23"/>
      <c r="B992" s="24"/>
      <c r="C992" s="24"/>
      <c r="D992" s="20" t="str">
        <f aca="false">IF(C992="","",IF(COUNTIF(ตั้งค่า!$A$7:$A$18,C992)&gt;0,"รายรับ",IF(COUNTIF(ตั้งค่า!$C$7:$C$31,C992)&gt;0,"รายจ่าย","ไม่พบหมวดหมู่")))</f>
        <v/>
      </c>
      <c r="E992" s="25"/>
      <c r="F992" s="24"/>
      <c r="G992" s="24"/>
      <c r="H992" s="21" t="n">
        <f aca="false">IF(OR(E992="",D992&lt;&gt;"รายรับ"),0,E992)</f>
        <v>0</v>
      </c>
      <c r="I992" s="21" t="n">
        <f aca="false">IF(OR(E992="",D992&lt;&gt;"รายจ่าย"),0,E992)</f>
        <v>0</v>
      </c>
      <c r="J992" s="21" t="str">
        <f aca="false">IF(E992="","",ตั้งค่า!$B$4+SUM($H$5:H992)-SUM($I$5:I992))</f>
        <v/>
      </c>
      <c r="K992" s="22" t="str">
        <f aca="false">IF(A992="","",MONTH(A992))</f>
        <v/>
      </c>
      <c r="L992" s="22" t="str">
        <f aca="false">IF(A992="","",YEAR(A992))</f>
        <v/>
      </c>
    </row>
    <row r="993" customFormat="false" ht="15" hidden="false" customHeight="false" outlineLevel="0" collapsed="false">
      <c r="A993" s="23"/>
      <c r="B993" s="24"/>
      <c r="C993" s="24"/>
      <c r="D993" s="20" t="str">
        <f aca="false">IF(C993="","",IF(COUNTIF(ตั้งค่า!$A$7:$A$18,C993)&gt;0,"รายรับ",IF(COUNTIF(ตั้งค่า!$C$7:$C$31,C993)&gt;0,"รายจ่าย","ไม่พบหมวดหมู่")))</f>
        <v/>
      </c>
      <c r="E993" s="25"/>
      <c r="F993" s="24"/>
      <c r="G993" s="24"/>
      <c r="H993" s="21" t="n">
        <f aca="false">IF(OR(E993="",D993&lt;&gt;"รายรับ"),0,E993)</f>
        <v>0</v>
      </c>
      <c r="I993" s="21" t="n">
        <f aca="false">IF(OR(E993="",D993&lt;&gt;"รายจ่าย"),0,E993)</f>
        <v>0</v>
      </c>
      <c r="J993" s="21" t="str">
        <f aca="false">IF(E993="","",ตั้งค่า!$B$4+SUM($H$5:H993)-SUM($I$5:I993))</f>
        <v/>
      </c>
      <c r="K993" s="22" t="str">
        <f aca="false">IF(A993="","",MONTH(A993))</f>
        <v/>
      </c>
      <c r="L993" s="22" t="str">
        <f aca="false">IF(A993="","",YEAR(A993))</f>
        <v/>
      </c>
    </row>
    <row r="994" customFormat="false" ht="15" hidden="false" customHeight="false" outlineLevel="0" collapsed="false">
      <c r="A994" s="23"/>
      <c r="B994" s="24"/>
      <c r="C994" s="24"/>
      <c r="D994" s="20" t="str">
        <f aca="false">IF(C994="","",IF(COUNTIF(ตั้งค่า!$A$7:$A$18,C994)&gt;0,"รายรับ",IF(COUNTIF(ตั้งค่า!$C$7:$C$31,C994)&gt;0,"รายจ่าย","ไม่พบหมวดหมู่")))</f>
        <v/>
      </c>
      <c r="E994" s="25"/>
      <c r="F994" s="24"/>
      <c r="G994" s="24"/>
      <c r="H994" s="21" t="n">
        <f aca="false">IF(OR(E994="",D994&lt;&gt;"รายรับ"),0,E994)</f>
        <v>0</v>
      </c>
      <c r="I994" s="21" t="n">
        <f aca="false">IF(OR(E994="",D994&lt;&gt;"รายจ่าย"),0,E994)</f>
        <v>0</v>
      </c>
      <c r="J994" s="21" t="str">
        <f aca="false">IF(E994="","",ตั้งค่า!$B$4+SUM($H$5:H994)-SUM($I$5:I994))</f>
        <v/>
      </c>
      <c r="K994" s="22" t="str">
        <f aca="false">IF(A994="","",MONTH(A994))</f>
        <v/>
      </c>
      <c r="L994" s="22" t="str">
        <f aca="false">IF(A994="","",YEAR(A994))</f>
        <v/>
      </c>
    </row>
    <row r="995" customFormat="false" ht="15" hidden="false" customHeight="false" outlineLevel="0" collapsed="false">
      <c r="A995" s="23"/>
      <c r="B995" s="24"/>
      <c r="C995" s="24"/>
      <c r="D995" s="20" t="str">
        <f aca="false">IF(C995="","",IF(COUNTIF(ตั้งค่า!$A$7:$A$18,C995)&gt;0,"รายรับ",IF(COUNTIF(ตั้งค่า!$C$7:$C$31,C995)&gt;0,"รายจ่าย","ไม่พบหมวดหมู่")))</f>
        <v/>
      </c>
      <c r="E995" s="25"/>
      <c r="F995" s="24"/>
      <c r="G995" s="24"/>
      <c r="H995" s="21" t="n">
        <f aca="false">IF(OR(E995="",D995&lt;&gt;"รายรับ"),0,E995)</f>
        <v>0</v>
      </c>
      <c r="I995" s="21" t="n">
        <f aca="false">IF(OR(E995="",D995&lt;&gt;"รายจ่าย"),0,E995)</f>
        <v>0</v>
      </c>
      <c r="J995" s="21" t="str">
        <f aca="false">IF(E995="","",ตั้งค่า!$B$4+SUM($H$5:H995)-SUM($I$5:I995))</f>
        <v/>
      </c>
      <c r="K995" s="22" t="str">
        <f aca="false">IF(A995="","",MONTH(A995))</f>
        <v/>
      </c>
      <c r="L995" s="22" t="str">
        <f aca="false">IF(A995="","",YEAR(A995))</f>
        <v/>
      </c>
    </row>
    <row r="996" customFormat="false" ht="15" hidden="false" customHeight="false" outlineLevel="0" collapsed="false">
      <c r="A996" s="23"/>
      <c r="B996" s="24"/>
      <c r="C996" s="24"/>
      <c r="D996" s="20" t="str">
        <f aca="false">IF(C996="","",IF(COUNTIF(ตั้งค่า!$A$7:$A$18,C996)&gt;0,"รายรับ",IF(COUNTIF(ตั้งค่า!$C$7:$C$31,C996)&gt;0,"รายจ่าย","ไม่พบหมวดหมู่")))</f>
        <v/>
      </c>
      <c r="E996" s="25"/>
      <c r="F996" s="24"/>
      <c r="G996" s="24"/>
      <c r="H996" s="21" t="n">
        <f aca="false">IF(OR(E996="",D996&lt;&gt;"รายรับ"),0,E996)</f>
        <v>0</v>
      </c>
      <c r="I996" s="21" t="n">
        <f aca="false">IF(OR(E996="",D996&lt;&gt;"รายจ่าย"),0,E996)</f>
        <v>0</v>
      </c>
      <c r="J996" s="21" t="str">
        <f aca="false">IF(E996="","",ตั้งค่า!$B$4+SUM($H$5:H996)-SUM($I$5:I996))</f>
        <v/>
      </c>
      <c r="K996" s="22" t="str">
        <f aca="false">IF(A996="","",MONTH(A996))</f>
        <v/>
      </c>
      <c r="L996" s="22" t="str">
        <f aca="false">IF(A996="","",YEAR(A996))</f>
        <v/>
      </c>
    </row>
    <row r="997" customFormat="false" ht="15" hidden="false" customHeight="false" outlineLevel="0" collapsed="false">
      <c r="A997" s="23"/>
      <c r="B997" s="24"/>
      <c r="C997" s="24"/>
      <c r="D997" s="20" t="str">
        <f aca="false">IF(C997="","",IF(COUNTIF(ตั้งค่า!$A$7:$A$18,C997)&gt;0,"รายรับ",IF(COUNTIF(ตั้งค่า!$C$7:$C$31,C997)&gt;0,"รายจ่าย","ไม่พบหมวดหมู่")))</f>
        <v/>
      </c>
      <c r="E997" s="25"/>
      <c r="F997" s="24"/>
      <c r="G997" s="24"/>
      <c r="H997" s="21" t="n">
        <f aca="false">IF(OR(E997="",D997&lt;&gt;"รายรับ"),0,E997)</f>
        <v>0</v>
      </c>
      <c r="I997" s="21" t="n">
        <f aca="false">IF(OR(E997="",D997&lt;&gt;"รายจ่าย"),0,E997)</f>
        <v>0</v>
      </c>
      <c r="J997" s="21" t="str">
        <f aca="false">IF(E997="","",ตั้งค่า!$B$4+SUM($H$5:H997)-SUM($I$5:I997))</f>
        <v/>
      </c>
      <c r="K997" s="22" t="str">
        <f aca="false">IF(A997="","",MONTH(A997))</f>
        <v/>
      </c>
      <c r="L997" s="22" t="str">
        <f aca="false">IF(A997="","",YEAR(A997))</f>
        <v/>
      </c>
    </row>
    <row r="998" customFormat="false" ht="15" hidden="false" customHeight="false" outlineLevel="0" collapsed="false">
      <c r="A998" s="23"/>
      <c r="B998" s="24"/>
      <c r="C998" s="24"/>
      <c r="D998" s="20" t="str">
        <f aca="false">IF(C998="","",IF(COUNTIF(ตั้งค่า!$A$7:$A$18,C998)&gt;0,"รายรับ",IF(COUNTIF(ตั้งค่า!$C$7:$C$31,C998)&gt;0,"รายจ่าย","ไม่พบหมวดหมู่")))</f>
        <v/>
      </c>
      <c r="E998" s="25"/>
      <c r="F998" s="24"/>
      <c r="G998" s="24"/>
      <c r="H998" s="21" t="n">
        <f aca="false">IF(OR(E998="",D998&lt;&gt;"รายรับ"),0,E998)</f>
        <v>0</v>
      </c>
      <c r="I998" s="21" t="n">
        <f aca="false">IF(OR(E998="",D998&lt;&gt;"รายจ่าย"),0,E998)</f>
        <v>0</v>
      </c>
      <c r="J998" s="21" t="str">
        <f aca="false">IF(E998="","",ตั้งค่า!$B$4+SUM($H$5:H998)-SUM($I$5:I998))</f>
        <v/>
      </c>
      <c r="K998" s="22" t="str">
        <f aca="false">IF(A998="","",MONTH(A998))</f>
        <v/>
      </c>
      <c r="L998" s="22" t="str">
        <f aca="false">IF(A998="","",YEAR(A998))</f>
        <v/>
      </c>
    </row>
    <row r="999" customFormat="false" ht="15" hidden="false" customHeight="false" outlineLevel="0" collapsed="false">
      <c r="A999" s="23"/>
      <c r="B999" s="24"/>
      <c r="C999" s="24"/>
      <c r="D999" s="20" t="str">
        <f aca="false">IF(C999="","",IF(COUNTIF(ตั้งค่า!$A$7:$A$18,C999)&gt;0,"รายรับ",IF(COUNTIF(ตั้งค่า!$C$7:$C$31,C999)&gt;0,"รายจ่าย","ไม่พบหมวดหมู่")))</f>
        <v/>
      </c>
      <c r="E999" s="25"/>
      <c r="F999" s="24"/>
      <c r="G999" s="24"/>
      <c r="H999" s="21" t="n">
        <f aca="false">IF(OR(E999="",D999&lt;&gt;"รายรับ"),0,E999)</f>
        <v>0</v>
      </c>
      <c r="I999" s="21" t="n">
        <f aca="false">IF(OR(E999="",D999&lt;&gt;"รายจ่าย"),0,E999)</f>
        <v>0</v>
      </c>
      <c r="J999" s="21" t="str">
        <f aca="false">IF(E999="","",ตั้งค่า!$B$4+SUM($H$5:H999)-SUM($I$5:I999))</f>
        <v/>
      </c>
      <c r="K999" s="22" t="str">
        <f aca="false">IF(A999="","",MONTH(A999))</f>
        <v/>
      </c>
      <c r="L999" s="22" t="str">
        <f aca="false">IF(A999="","",YEAR(A999))</f>
        <v/>
      </c>
    </row>
    <row r="1000" customFormat="false" ht="15" hidden="false" customHeight="false" outlineLevel="0" collapsed="false">
      <c r="A1000" s="23"/>
      <c r="B1000" s="24"/>
      <c r="C1000" s="24"/>
      <c r="D1000" s="20" t="str">
        <f aca="false">IF(C1000="","",IF(COUNTIF(ตั้งค่า!$A$7:$A$18,C1000)&gt;0,"รายรับ",IF(COUNTIF(ตั้งค่า!$C$7:$C$31,C1000)&gt;0,"รายจ่าย","ไม่พบหมวดหมู่")))</f>
        <v/>
      </c>
      <c r="E1000" s="25"/>
      <c r="F1000" s="24"/>
      <c r="G1000" s="24"/>
      <c r="H1000" s="21" t="n">
        <f aca="false">IF(OR(E1000="",D1000&lt;&gt;"รายรับ"),0,E1000)</f>
        <v>0</v>
      </c>
      <c r="I1000" s="21" t="n">
        <f aca="false">IF(OR(E1000="",D1000&lt;&gt;"รายจ่าย"),0,E1000)</f>
        <v>0</v>
      </c>
      <c r="J1000" s="21" t="str">
        <f aca="false">IF(E1000="","",ตั้งค่า!$B$4+SUM($H$5:H1000)-SUM($I$5:I1000))</f>
        <v/>
      </c>
      <c r="K1000" s="22" t="str">
        <f aca="false">IF(A1000="","",MONTH(A1000))</f>
        <v/>
      </c>
      <c r="L1000" s="22" t="str">
        <f aca="false">IF(A1000="","",YEAR(A1000))</f>
        <v/>
      </c>
    </row>
    <row r="1001" customFormat="false" ht="15" hidden="false" customHeight="false" outlineLevel="0" collapsed="false">
      <c r="A1001" s="23"/>
      <c r="B1001" s="24"/>
      <c r="C1001" s="24"/>
      <c r="D1001" s="20" t="str">
        <f aca="false">IF(C1001="","",IF(COUNTIF(ตั้งค่า!$A$7:$A$18,C1001)&gt;0,"รายรับ",IF(COUNTIF(ตั้งค่า!$C$7:$C$31,C1001)&gt;0,"รายจ่าย","ไม่พบหมวดหมู่")))</f>
        <v/>
      </c>
      <c r="E1001" s="25"/>
      <c r="F1001" s="24"/>
      <c r="G1001" s="24"/>
      <c r="H1001" s="21" t="n">
        <f aca="false">IF(OR(E1001="",D1001&lt;&gt;"รายรับ"),0,E1001)</f>
        <v>0</v>
      </c>
      <c r="I1001" s="21" t="n">
        <f aca="false">IF(OR(E1001="",D1001&lt;&gt;"รายจ่าย"),0,E1001)</f>
        <v>0</v>
      </c>
      <c r="J1001" s="21" t="str">
        <f aca="false">IF(E1001="","",ตั้งค่า!$B$4+SUM($H$5:H1001)-SUM($I$5:I1001))</f>
        <v/>
      </c>
      <c r="K1001" s="22" t="str">
        <f aca="false">IF(A1001="","",MONTH(A1001))</f>
        <v/>
      </c>
      <c r="L1001" s="22" t="str">
        <f aca="false">IF(A1001="","",YEAR(A1001))</f>
        <v/>
      </c>
    </row>
    <row r="1002" customFormat="false" ht="15" hidden="false" customHeight="false" outlineLevel="0" collapsed="false">
      <c r="A1002" s="23"/>
      <c r="B1002" s="24"/>
      <c r="C1002" s="24"/>
      <c r="D1002" s="20" t="str">
        <f aca="false">IF(C1002="","",IF(COUNTIF(ตั้งค่า!$A$7:$A$18,C1002)&gt;0,"รายรับ",IF(COUNTIF(ตั้งค่า!$C$7:$C$31,C1002)&gt;0,"รายจ่าย","ไม่พบหมวดหมู่")))</f>
        <v/>
      </c>
      <c r="E1002" s="25"/>
      <c r="F1002" s="24"/>
      <c r="G1002" s="24"/>
      <c r="H1002" s="21" t="n">
        <f aca="false">IF(OR(E1002="",D1002&lt;&gt;"รายรับ"),0,E1002)</f>
        <v>0</v>
      </c>
      <c r="I1002" s="21" t="n">
        <f aca="false">IF(OR(E1002="",D1002&lt;&gt;"รายจ่าย"),0,E1002)</f>
        <v>0</v>
      </c>
      <c r="J1002" s="21" t="str">
        <f aca="false">IF(E1002="","",ตั้งค่า!$B$4+SUM($H$5:H1002)-SUM($I$5:I1002))</f>
        <v/>
      </c>
      <c r="K1002" s="22" t="str">
        <f aca="false">IF(A1002="","",MONTH(A1002))</f>
        <v/>
      </c>
      <c r="L1002" s="22" t="str">
        <f aca="false">IF(A1002="","",YEAR(A1002))</f>
        <v/>
      </c>
    </row>
    <row r="1003" customFormat="false" ht="15" hidden="false" customHeight="false" outlineLevel="0" collapsed="false">
      <c r="A1003" s="23"/>
      <c r="B1003" s="24"/>
      <c r="C1003" s="24"/>
      <c r="D1003" s="20" t="str">
        <f aca="false">IF(C1003="","",IF(COUNTIF(ตั้งค่า!$A$7:$A$18,C1003)&gt;0,"รายรับ",IF(COUNTIF(ตั้งค่า!$C$7:$C$31,C1003)&gt;0,"รายจ่าย","ไม่พบหมวดหมู่")))</f>
        <v/>
      </c>
      <c r="E1003" s="25"/>
      <c r="F1003" s="24"/>
      <c r="G1003" s="24"/>
      <c r="H1003" s="21" t="n">
        <f aca="false">IF(OR(E1003="",D1003&lt;&gt;"รายรับ"),0,E1003)</f>
        <v>0</v>
      </c>
      <c r="I1003" s="21" t="n">
        <f aca="false">IF(OR(E1003="",D1003&lt;&gt;"รายจ่าย"),0,E1003)</f>
        <v>0</v>
      </c>
      <c r="J1003" s="21" t="str">
        <f aca="false">IF(E1003="","",ตั้งค่า!$B$4+SUM($H$5:H1003)-SUM($I$5:I1003))</f>
        <v/>
      </c>
      <c r="K1003" s="22" t="str">
        <f aca="false">IF(A1003="","",MONTH(A1003))</f>
        <v/>
      </c>
      <c r="L1003" s="22" t="str">
        <f aca="false">IF(A1003="","",YEAR(A1003))</f>
        <v/>
      </c>
    </row>
    <row r="1004" customFormat="false" ht="15" hidden="false" customHeight="false" outlineLevel="0" collapsed="false">
      <c r="A1004" s="23"/>
      <c r="B1004" s="24"/>
      <c r="C1004" s="24"/>
      <c r="D1004" s="20" t="str">
        <f aca="false">IF(C1004="","",IF(COUNTIF(ตั้งค่า!$A$7:$A$18,C1004)&gt;0,"รายรับ",IF(COUNTIF(ตั้งค่า!$C$7:$C$31,C1004)&gt;0,"รายจ่าย","ไม่พบหมวดหมู่")))</f>
        <v/>
      </c>
      <c r="E1004" s="25"/>
      <c r="F1004" s="24"/>
      <c r="G1004" s="24"/>
      <c r="H1004" s="21" t="n">
        <f aca="false">IF(OR(E1004="",D1004&lt;&gt;"รายรับ"),0,E1004)</f>
        <v>0</v>
      </c>
      <c r="I1004" s="21" t="n">
        <f aca="false">IF(OR(E1004="",D1004&lt;&gt;"รายจ่าย"),0,E1004)</f>
        <v>0</v>
      </c>
      <c r="J1004" s="21" t="str">
        <f aca="false">IF(E1004="","",ตั้งค่า!$B$4+SUM($H$5:H1004)-SUM($I$5:I1004))</f>
        <v/>
      </c>
      <c r="K1004" s="22" t="str">
        <f aca="false">IF(A1004="","",MONTH(A1004))</f>
        <v/>
      </c>
      <c r="L1004" s="22" t="str">
        <f aca="false">IF(A1004="","",YEAR(A1004))</f>
        <v/>
      </c>
    </row>
  </sheetData>
  <autoFilter ref="A4:L1004"/>
  <conditionalFormatting sqref="D5:D1004">
    <cfRule type="cellIs" priority="2" operator="equal" aboveAverage="0" equalAverage="0" bottom="0" percent="0" rank="0" text="" dxfId="7">
      <formula>"รายรับ"</formula>
    </cfRule>
    <cfRule type="cellIs" priority="3" operator="equal" aboveAverage="0" equalAverage="0" bottom="0" percent="0" rank="0" text="" dxfId="8">
      <formula>"รายจ่าย"</formula>
    </cfRule>
    <cfRule type="cellIs" priority="4" operator="equal" aboveAverage="0" equalAverage="0" bottom="0" percent="0" rank="0" text="" dxfId="9">
      <formula>"ไม่พบหมวดหมู่"</formula>
    </cfRule>
  </conditionalFormatting>
  <dataValidations count="4">
    <dataValidation allowBlank="true" error="เลือกหมวดหมู่จากรายการ หรือเพิ่มหมวดหมู่ใหม่ในชีต ‘ตั้งค่า’" errorStyle="stop" errorTitle="หมวดหมู่ไม่ถูกต้อง" operator="between" showDropDown="false" showErrorMessage="true" showInputMessage="false" sqref="C5:C1004" type="list">
      <formula1>ตั้งค่า!$H$7:$H$43</formula1>
      <formula2>0</formula2>
    </dataValidation>
    <dataValidation allowBlank="true" errorStyle="stop" operator="between" showDropDown="false" showErrorMessage="false" showInputMessage="false" sqref="F5:F1004" type="list">
      <formula1>ตั้งค่า!$F$7:$F$14</formula1>
      <formula2>0</formula2>
    </dataValidation>
    <dataValidation allowBlank="true" error="กรอกวันที่ เช่น 25/10/2026" errorStyle="stop" errorTitle="วันที่ไม่ถูกต้อง" operator="greaterThan" showDropDown="false" showErrorMessage="true" showInputMessage="false" sqref="A5:A1004" type="date">
      <formula1>DATE(2000,1,1)</formula1>
      <formula2>0</formula2>
    </dataValidation>
    <dataValidation allowBlank="true" error="ใส่ตัวเลขที่ไม่ติดลบ" errorStyle="stop" errorTitle="จำนวนเงินไม่ถูกต้อง" operator="greaterThanOrEqual" showDropDown="false" showErrorMessage="true" showInputMessage="false" sqref="E5:E1004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C1917"/>
    <pageSetUpPr fitToPage="true"/>
  </sheetPr>
  <dimension ref="A1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6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7" min="7" style="0" width="3"/>
    <col collapsed="false" customWidth="true" hidden="false" outlineLevel="0" max="8" min="8" style="0" width="22"/>
    <col collapsed="false" customWidth="true" hidden="false" outlineLevel="0" max="9" min="9" style="0" width="18"/>
  </cols>
  <sheetData>
    <row r="1" customFormat="false" ht="19.7" hidden="false" customHeight="false" outlineLevel="0" collapsed="false">
      <c r="A1" s="1" t="s">
        <v>89</v>
      </c>
    </row>
    <row r="2" customFormat="false" ht="15" hidden="false" customHeight="false" outlineLevel="0" collapsed="false">
      <c r="A2" s="26" t="str">
        <f aca="false">"ปี ค.ศ. "&amp;ตั้งค่า!B3&amp;"  (พ.ศ. "&amp;ตั้งค่า!B3+543&amp;")"</f>
        <v>ปี ค.ศ. 2026  (พ.ศ. 2569)</v>
      </c>
    </row>
    <row r="4" customFormat="false" ht="30" hidden="false" customHeight="true" outlineLevel="0" collapsed="false">
      <c r="A4" s="13" t="s">
        <v>74</v>
      </c>
      <c r="B4" s="13" t="s">
        <v>71</v>
      </c>
      <c r="C4" s="13" t="s">
        <v>72</v>
      </c>
      <c r="D4" s="13" t="s">
        <v>90</v>
      </c>
      <c r="E4" s="13" t="s">
        <v>91</v>
      </c>
      <c r="F4" s="13" t="s">
        <v>92</v>
      </c>
      <c r="H4" s="27" t="s">
        <v>93</v>
      </c>
      <c r="I4" s="28"/>
    </row>
    <row r="5" customFormat="false" ht="15" hidden="false" customHeight="false" outlineLevel="0" collapsed="false">
      <c r="A5" s="29" t="s">
        <v>94</v>
      </c>
      <c r="B5" s="30" t="n">
        <f aca="false">SUMIFS(บันทึก!$H$5:$H$1004,บันทึก!$K$5:$K$1004,1,บันทึก!$L$5:$L$1004,ตั้งค่า!$B$3)</f>
        <v>0</v>
      </c>
      <c r="C5" s="30" t="n">
        <f aca="false">SUMIFS(บันทึก!$I$5:$I$1004,บันทึก!$K$5:$K$1004,1,บันทึก!$L$5:$L$1004,ตั้งค่า!$B$3)</f>
        <v>0</v>
      </c>
      <c r="D5" s="30" t="n">
        <f aca="false">B5-C5</f>
        <v>0</v>
      </c>
      <c r="E5" s="31" t="n">
        <f aca="false">IF(B5=0,0,D5/B5)</f>
        <v>0</v>
      </c>
      <c r="F5" s="30" t="n">
        <f aca="false">ตั้งค่า!$B$4+SUM($D$5:D5)</f>
        <v>15000</v>
      </c>
      <c r="H5" s="29" t="s">
        <v>95</v>
      </c>
      <c r="I5" s="32" t="n">
        <f aca="false">B17</f>
        <v>36500</v>
      </c>
    </row>
    <row r="6" customFormat="false" ht="15" hidden="false" customHeight="false" outlineLevel="0" collapsed="false">
      <c r="A6" s="33" t="s">
        <v>96</v>
      </c>
      <c r="B6" s="34" t="n">
        <f aca="false">SUMIFS(บันทึก!$H$5:$H$1004,บันทึก!$K$5:$K$1004,2,บันทึก!$L$5:$L$1004,ตั้งค่า!$B$3)</f>
        <v>0</v>
      </c>
      <c r="C6" s="34" t="n">
        <f aca="false">SUMIFS(บันทึก!$I$5:$I$1004,บันทึก!$K$5:$K$1004,2,บันทึก!$L$5:$L$1004,ตั้งค่า!$B$3)</f>
        <v>0</v>
      </c>
      <c r="D6" s="34" t="n">
        <f aca="false">B6-C6</f>
        <v>0</v>
      </c>
      <c r="E6" s="35" t="n">
        <f aca="false">IF(B6=0,0,D6/B6)</f>
        <v>0</v>
      </c>
      <c r="F6" s="34" t="n">
        <f aca="false">ตั้งค่า!$B$4+SUM($D$5:D6)</f>
        <v>15000</v>
      </c>
      <c r="H6" s="29" t="s">
        <v>97</v>
      </c>
      <c r="I6" s="32" t="n">
        <f aca="false">C17</f>
        <v>21118</v>
      </c>
    </row>
    <row r="7" customFormat="false" ht="15" hidden="false" customHeight="false" outlineLevel="0" collapsed="false">
      <c r="A7" s="29" t="s">
        <v>98</v>
      </c>
      <c r="B7" s="30" t="n">
        <f aca="false">SUMIFS(บันทึก!$H$5:$H$1004,บันทึก!$K$5:$K$1004,3,บันทึก!$L$5:$L$1004,ตั้งค่า!$B$3)</f>
        <v>0</v>
      </c>
      <c r="C7" s="30" t="n">
        <f aca="false">SUMIFS(บันทึก!$I$5:$I$1004,บันทึก!$K$5:$K$1004,3,บันทึก!$L$5:$L$1004,ตั้งค่า!$B$3)</f>
        <v>0</v>
      </c>
      <c r="D7" s="30" t="n">
        <f aca="false">B7-C7</f>
        <v>0</v>
      </c>
      <c r="E7" s="31" t="n">
        <f aca="false">IF(B7=0,0,D7/B7)</f>
        <v>0</v>
      </c>
      <c r="F7" s="30" t="n">
        <f aca="false">ตั้งค่า!$B$4+SUM($D$5:D7)</f>
        <v>15000</v>
      </c>
      <c r="H7" s="29" t="s">
        <v>99</v>
      </c>
      <c r="I7" s="32" t="n">
        <f aca="false">D17</f>
        <v>15382</v>
      </c>
    </row>
    <row r="8" customFormat="false" ht="15" hidden="false" customHeight="false" outlineLevel="0" collapsed="false">
      <c r="A8" s="33" t="s">
        <v>100</v>
      </c>
      <c r="B8" s="34" t="n">
        <f aca="false">SUMIFS(บันทึก!$H$5:$H$1004,บันทึก!$K$5:$K$1004,4,บันทึก!$L$5:$L$1004,ตั้งค่า!$B$3)</f>
        <v>0</v>
      </c>
      <c r="C8" s="34" t="n">
        <f aca="false">SUMIFS(บันทึก!$I$5:$I$1004,บันทึก!$K$5:$K$1004,4,บันทึก!$L$5:$L$1004,ตั้งค่า!$B$3)</f>
        <v>0</v>
      </c>
      <c r="D8" s="34" t="n">
        <f aca="false">B8-C8</f>
        <v>0</v>
      </c>
      <c r="E8" s="35" t="n">
        <f aca="false">IF(B8=0,0,D8/B8)</f>
        <v>0</v>
      </c>
      <c r="F8" s="34" t="n">
        <f aca="false">ตั้งค่า!$B$4+SUM($D$5:D8)</f>
        <v>15000</v>
      </c>
      <c r="H8" s="29" t="s">
        <v>91</v>
      </c>
      <c r="I8" s="36" t="n">
        <f aca="false">E17</f>
        <v>0.421424657534247</v>
      </c>
    </row>
    <row r="9" customFormat="false" ht="15" hidden="false" customHeight="false" outlineLevel="0" collapsed="false">
      <c r="A9" s="29" t="s">
        <v>101</v>
      </c>
      <c r="B9" s="30" t="n">
        <f aca="false">SUMIFS(บันทึก!$H$5:$H$1004,บันทึก!$K$5:$K$1004,5,บันทึก!$L$5:$L$1004,ตั้งค่า!$B$3)</f>
        <v>0</v>
      </c>
      <c r="C9" s="30" t="n">
        <f aca="false">SUMIFS(บันทึก!$I$5:$I$1004,บันทึก!$K$5:$K$1004,5,บันทึก!$L$5:$L$1004,ตั้งค่า!$B$3)</f>
        <v>0</v>
      </c>
      <c r="D9" s="30" t="n">
        <f aca="false">B9-C9</f>
        <v>0</v>
      </c>
      <c r="E9" s="31" t="n">
        <f aca="false">IF(B9=0,0,D9/B9)</f>
        <v>0</v>
      </c>
      <c r="F9" s="30" t="n">
        <f aca="false">ตั้งค่า!$B$4+SUM($D$5:D9)</f>
        <v>15000</v>
      </c>
      <c r="H9" s="29" t="s">
        <v>102</v>
      </c>
      <c r="I9" s="37" t="str">
        <f aca="false">IF(MAX(C5:C16)=0,"-",INDEX(A5:A16,MATCH(MAX(C5:C16),C5:C16,0)))</f>
        <v>กันยายน</v>
      </c>
    </row>
    <row r="10" customFormat="false" ht="15" hidden="false" customHeight="false" outlineLevel="0" collapsed="false">
      <c r="A10" s="33" t="s">
        <v>103</v>
      </c>
      <c r="B10" s="34" t="n">
        <f aca="false">SUMIFS(บันทึก!$H$5:$H$1004,บันทึก!$K$5:$K$1004,6,บันทึก!$L$5:$L$1004,ตั้งค่า!$B$3)</f>
        <v>0</v>
      </c>
      <c r="C10" s="34" t="n">
        <f aca="false">SUMIFS(บันทึก!$I$5:$I$1004,บันทึก!$K$5:$K$1004,6,บันทึก!$L$5:$L$1004,ตั้งค่า!$B$3)</f>
        <v>0</v>
      </c>
      <c r="D10" s="34" t="n">
        <f aca="false">B10-C10</f>
        <v>0</v>
      </c>
      <c r="E10" s="35" t="n">
        <f aca="false">IF(B10=0,0,D10/B10)</f>
        <v>0</v>
      </c>
      <c r="F10" s="34" t="n">
        <f aca="false">ตั้งค่า!$B$4+SUM($D$5:D10)</f>
        <v>15000</v>
      </c>
      <c r="H10" s="29" t="s">
        <v>104</v>
      </c>
      <c r="I10" s="38" t="n">
        <f aca="false">บันทึก!K2</f>
        <v>30382</v>
      </c>
    </row>
    <row r="11" customFormat="false" ht="15" hidden="false" customHeight="false" outlineLevel="0" collapsed="false">
      <c r="A11" s="29" t="s">
        <v>105</v>
      </c>
      <c r="B11" s="30" t="n">
        <f aca="false">SUMIFS(บันทึก!$H$5:$H$1004,บันทึก!$K$5:$K$1004,7,บันทึก!$L$5:$L$1004,ตั้งค่า!$B$3)</f>
        <v>0</v>
      </c>
      <c r="C11" s="30" t="n">
        <f aca="false">SUMIFS(บันทึก!$I$5:$I$1004,บันทึก!$K$5:$K$1004,7,บันทึก!$L$5:$L$1004,ตั้งค่า!$B$3)</f>
        <v>0</v>
      </c>
      <c r="D11" s="30" t="n">
        <f aca="false">B11-C11</f>
        <v>0</v>
      </c>
      <c r="E11" s="31" t="n">
        <f aca="false">IF(B11=0,0,D11/B11)</f>
        <v>0</v>
      </c>
      <c r="F11" s="30" t="n">
        <f aca="false">ตั้งค่า!$B$4+SUM($D$5:D11)</f>
        <v>15000</v>
      </c>
    </row>
    <row r="12" customFormat="false" ht="15" hidden="false" customHeight="false" outlineLevel="0" collapsed="false">
      <c r="A12" s="33" t="s">
        <v>106</v>
      </c>
      <c r="B12" s="34" t="n">
        <f aca="false">SUMIFS(บันทึก!$H$5:$H$1004,บันทึก!$K$5:$K$1004,8,บันทึก!$L$5:$L$1004,ตั้งค่า!$B$3)</f>
        <v>0</v>
      </c>
      <c r="C12" s="34" t="n">
        <f aca="false">SUMIFS(บันทึก!$I$5:$I$1004,บันทึก!$K$5:$K$1004,8,บันทึก!$L$5:$L$1004,ตั้งค่า!$B$3)</f>
        <v>0</v>
      </c>
      <c r="D12" s="34" t="n">
        <f aca="false">B12-C12</f>
        <v>0</v>
      </c>
      <c r="E12" s="35" t="n">
        <f aca="false">IF(B12=0,0,D12/B12)</f>
        <v>0</v>
      </c>
      <c r="F12" s="34" t="n">
        <f aca="false">ตั้งค่า!$B$4+SUM($D$5:D12)</f>
        <v>15000</v>
      </c>
    </row>
    <row r="13" customFormat="false" ht="15" hidden="false" customHeight="false" outlineLevel="0" collapsed="false">
      <c r="A13" s="29" t="s">
        <v>107</v>
      </c>
      <c r="B13" s="30" t="n">
        <f aca="false">SUMIFS(บันทึก!$H$5:$H$1004,บันทึก!$K$5:$K$1004,9,บันทึก!$L$5:$L$1004,ตั้งค่า!$B$3)</f>
        <v>32000</v>
      </c>
      <c r="C13" s="30" t="n">
        <f aca="false">SUMIFS(บันทึก!$I$5:$I$1004,บันทึก!$K$5:$K$1004,9,บันทึก!$L$5:$L$1004,ตั้งค่า!$B$3)</f>
        <v>10650</v>
      </c>
      <c r="D13" s="30" t="n">
        <f aca="false">B13-C13</f>
        <v>21350</v>
      </c>
      <c r="E13" s="31" t="n">
        <f aca="false">IF(B13=0,0,D13/B13)</f>
        <v>0.6671875</v>
      </c>
      <c r="F13" s="30" t="n">
        <f aca="false">ตั้งค่า!$B$4+SUM($D$5:D13)</f>
        <v>36350</v>
      </c>
    </row>
    <row r="14" customFormat="false" ht="15" hidden="false" customHeight="false" outlineLevel="0" collapsed="false">
      <c r="A14" s="33" t="s">
        <v>108</v>
      </c>
      <c r="B14" s="34" t="n">
        <f aca="false">SUMIFS(บันทึก!$H$5:$H$1004,บันทึก!$K$5:$K$1004,10,บันทึก!$L$5:$L$1004,ตั้งค่า!$B$3)</f>
        <v>4500</v>
      </c>
      <c r="C14" s="34" t="n">
        <f aca="false">SUMIFS(บันทึก!$I$5:$I$1004,บันทึก!$K$5:$K$1004,10,บันทึก!$L$5:$L$1004,ตั้งค่า!$B$3)</f>
        <v>10468</v>
      </c>
      <c r="D14" s="34" t="n">
        <f aca="false">B14-C14</f>
        <v>-5968</v>
      </c>
      <c r="E14" s="35" t="n">
        <f aca="false">IF(B14=0,0,D14/B14)</f>
        <v>-1.32622222222222</v>
      </c>
      <c r="F14" s="34" t="n">
        <f aca="false">ตั้งค่า!$B$4+SUM($D$5:D14)</f>
        <v>30382</v>
      </c>
    </row>
    <row r="15" customFormat="false" ht="15" hidden="false" customHeight="false" outlineLevel="0" collapsed="false">
      <c r="A15" s="29" t="s">
        <v>109</v>
      </c>
      <c r="B15" s="30" t="n">
        <f aca="false">SUMIFS(บันทึก!$H$5:$H$1004,บันทึก!$K$5:$K$1004,11,บันทึก!$L$5:$L$1004,ตั้งค่า!$B$3)</f>
        <v>0</v>
      </c>
      <c r="C15" s="30" t="n">
        <f aca="false">SUMIFS(บันทึก!$I$5:$I$1004,บันทึก!$K$5:$K$1004,11,บันทึก!$L$5:$L$1004,ตั้งค่า!$B$3)</f>
        <v>0</v>
      </c>
      <c r="D15" s="30" t="n">
        <f aca="false">B15-C15</f>
        <v>0</v>
      </c>
      <c r="E15" s="31" t="n">
        <f aca="false">IF(B15=0,0,D15/B15)</f>
        <v>0</v>
      </c>
      <c r="F15" s="30" t="n">
        <f aca="false">ตั้งค่า!$B$4+SUM($D$5:D15)</f>
        <v>30382</v>
      </c>
    </row>
    <row r="16" customFormat="false" ht="15" hidden="false" customHeight="false" outlineLevel="0" collapsed="false">
      <c r="A16" s="33" t="s">
        <v>110</v>
      </c>
      <c r="B16" s="34" t="n">
        <f aca="false">SUMIFS(บันทึก!$H$5:$H$1004,บันทึก!$K$5:$K$1004,12,บันทึก!$L$5:$L$1004,ตั้งค่า!$B$3)</f>
        <v>0</v>
      </c>
      <c r="C16" s="34" t="n">
        <f aca="false">SUMIFS(บันทึก!$I$5:$I$1004,บันทึก!$K$5:$K$1004,12,บันทึก!$L$5:$L$1004,ตั้งค่า!$B$3)</f>
        <v>0</v>
      </c>
      <c r="D16" s="34" t="n">
        <f aca="false">B16-C16</f>
        <v>0</v>
      </c>
      <c r="E16" s="35" t="n">
        <f aca="false">IF(B16=0,0,D16/B16)</f>
        <v>0</v>
      </c>
      <c r="F16" s="34" t="n">
        <f aca="false">ตั้งค่า!$B$4+SUM($D$5:D16)</f>
        <v>30382</v>
      </c>
    </row>
    <row r="17" customFormat="false" ht="15" hidden="false" customHeight="false" outlineLevel="0" collapsed="false">
      <c r="A17" s="39" t="s">
        <v>111</v>
      </c>
      <c r="B17" s="16" t="n">
        <f aca="false">SUM(B5:B16)</f>
        <v>36500</v>
      </c>
      <c r="C17" s="16" t="n">
        <f aca="false">SUM(C5:C16)</f>
        <v>21118</v>
      </c>
      <c r="D17" s="16" t="n">
        <f aca="false">B17-C17</f>
        <v>15382</v>
      </c>
      <c r="E17" s="40" t="n">
        <f aca="false">IF(B17=0,0,D17/B17)</f>
        <v>0.421424657534247</v>
      </c>
      <c r="F17" s="16" t="n">
        <f aca="false">F16</f>
        <v>30382</v>
      </c>
    </row>
    <row r="18" customFormat="false" ht="15" hidden="false" customHeight="false" outlineLevel="0" collapsed="false">
      <c r="A18" s="41" t="s">
        <v>112</v>
      </c>
      <c r="B18" s="42" t="n">
        <f aca="false">IFERROR(B17/COUNTIF(B5:B16,"&gt;0"),0)</f>
        <v>18250</v>
      </c>
      <c r="C18" s="42" t="n">
        <f aca="false">IFERROR(C17/COUNTIF(C5:C16,"&gt;0"),0)</f>
        <v>10559</v>
      </c>
      <c r="D18" s="42"/>
      <c r="E18" s="43"/>
      <c r="F18" s="42"/>
    </row>
  </sheetData>
  <conditionalFormatting sqref="D5:D17">
    <cfRule type="cellIs" priority="2" operator="lessThan" aboveAverage="0" equalAverage="0" bottom="0" percent="0" rank="0" text="" dxfId="8">
      <formula>0</formula>
    </cfRule>
  </conditionalFormatting>
  <conditionalFormatting sqref="E5:E16">
    <cfRule type="dataBar" priority="3">
      <dataBar showValue="1" minLength="10" maxLength="90">
        <cfvo type="num" val="0"/>
        <cfvo type="num" val="1"/>
        <color rgb="FFD8B46A"/>
      </dataBar>
      <extLst>
        <ext xmlns:x14="http://schemas.microsoft.com/office/spreadsheetml/2009/9/main" uri="{B025F937-C7B1-47D3-B67F-A62EFF666E3E}">
          <x14:id>{AF48BE99-5EA2-4C2B-91F6-C0D747159C1E}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F48BE99-5EA2-4C2B-91F6-C0D747159C1E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D8B46A"/>
              <x14:axisColor rgb="FF000000"/>
            </x14:dataBar>
          </x14:cfRule>
          <xm:sqref>E5:E16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C1917"/>
    <pageSetUpPr fitToPage="true"/>
  </sheetPr>
  <dimension ref="A1:N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4"/>
    <col collapsed="false" customWidth="true" hidden="false" outlineLevel="0" max="6" min="5" style="0" width="12"/>
    <col collapsed="false" customWidth="true" hidden="false" outlineLevel="0" max="13" min="7" style="0" width="10"/>
    <col collapsed="false" customWidth="true" hidden="false" outlineLevel="0" max="14" min="14" style="0" width="14"/>
  </cols>
  <sheetData>
    <row r="1" customFormat="false" ht="20.1" hidden="false" customHeight="false" outlineLevel="0" collapsed="false">
      <c r="A1" s="1" t="s">
        <v>113</v>
      </c>
    </row>
    <row r="2" customFormat="false" ht="15" hidden="false" customHeight="false" outlineLevel="0" collapsed="false">
      <c r="A2" s="2" t="s">
        <v>114</v>
      </c>
    </row>
    <row r="3" customFormat="false" ht="15" hidden="false" customHeight="false" outlineLevel="0" collapsed="false">
      <c r="A3" s="8" t="s">
        <v>74</v>
      </c>
      <c r="B3" s="14" t="s">
        <v>108</v>
      </c>
      <c r="C3" s="44" t="n">
        <f aca="false">MATCH(B3,{"มกราคม","กุมภาพันธ์","มีนาคม","เมษายน","พฤษภาคม","มิถุนายน","กรกฎาคม","สิงหาคม","กันยายน","ตุลาคม","พฤศจิกายน","ธันวาคม"},0)</f>
        <v>10</v>
      </c>
    </row>
    <row r="5" customFormat="false" ht="30" hidden="false" customHeight="true" outlineLevel="0" collapsed="false">
      <c r="A5" s="13" t="s">
        <v>32</v>
      </c>
      <c r="B5" s="13" t="s">
        <v>115</v>
      </c>
      <c r="C5" s="13" t="s">
        <v>116</v>
      </c>
      <c r="D5" s="13" t="s">
        <v>117</v>
      </c>
      <c r="E5" s="45" t="s">
        <v>118</v>
      </c>
      <c r="F5" s="13" t="s">
        <v>119</v>
      </c>
    </row>
    <row r="6" customFormat="false" ht="15" hidden="false" customHeight="false" outlineLevel="0" collapsed="false">
      <c r="A6" s="46" t="str">
        <f aca="false">IF(ตั้งค่า!C7="","",ตั้งค่า!C7)</f>
        <v>อาหาร &amp; เครื่องดื่ม</v>
      </c>
      <c r="B6" s="47" t="n">
        <f aca="false">IF(A6="","",ตั้งค่า!D7)</f>
        <v>6000</v>
      </c>
      <c r="C6" s="30" t="n">
        <f aca="false">IF(A6="","",SUMIFS(บันทึก!$I$5:$I$1004,บันทึก!$C$5:$C$1004,A6,บันทึก!$K$5:$K$1004,$C$3,บันทึก!$L$5:$L$1004,ตั้งค่า!$B$3))</f>
        <v>650</v>
      </c>
      <c r="D6" s="30" t="n">
        <f aca="false">IF(A6="","",N(B6)-C6)</f>
        <v>5350</v>
      </c>
      <c r="E6" s="31" t="n">
        <f aca="false">IF(OR(A6="",N(B6)=0),"",C6/B6)</f>
        <v>0.108333333333333</v>
      </c>
      <c r="F6" s="48" t="str">
        <f aca="false">IF(A6="","",IF(N(B6)=0,IF(C6&gt;0,"ไม่มีงบ","-"),IF(C6&gt;B6,"เกินงบ",IF(C6&gt;=0.8*B6,"ใกล้เต็ม","ปกติ"))))</f>
        <v>ปกติ</v>
      </c>
    </row>
    <row r="7" customFormat="false" ht="15" hidden="false" customHeight="false" outlineLevel="0" collapsed="false">
      <c r="A7" s="46" t="str">
        <f aca="false">IF(ตั้งค่า!C8="","",ตั้งค่า!C8)</f>
        <v>ที่พัก / ค่าเช่า</v>
      </c>
      <c r="B7" s="47" t="n">
        <f aca="false">IF(A7="","",ตั้งค่า!D8)</f>
        <v>8000</v>
      </c>
      <c r="C7" s="30" t="n">
        <f aca="false">IF(A7="","",SUMIFS(บันทึก!$I$5:$I$1004,บันทึก!$C$5:$C$1004,A7,บันทึก!$K$5:$K$1004,$C$3,บันทึก!$L$5:$L$1004,ตั้งค่า!$B$3))</f>
        <v>0</v>
      </c>
      <c r="D7" s="30" t="n">
        <f aca="false">IF(A7="","",N(B7)-C7)</f>
        <v>8000</v>
      </c>
      <c r="E7" s="31" t="n">
        <f aca="false">IF(OR(A7="",N(B7)=0),"",C7/B7)</f>
        <v>0</v>
      </c>
      <c r="F7" s="48" t="str">
        <f aca="false">IF(A7="","",IF(N(B7)=0,IF(C7&gt;0,"ไม่มีงบ","-"),IF(C7&gt;B7,"เกินงบ",IF(C7&gt;=0.8*B7,"ใกล้เต็ม","ปกติ"))))</f>
        <v>ปกติ</v>
      </c>
    </row>
    <row r="8" customFormat="false" ht="15" hidden="false" customHeight="false" outlineLevel="0" collapsed="false">
      <c r="A8" s="46" t="str">
        <f aca="false">IF(ตั้งค่า!C9="","",ตั้งค่า!C9)</f>
        <v>ค่าน้ำ ค่าไฟ ค่าเน็ต</v>
      </c>
      <c r="B8" s="47" t="n">
        <f aca="false">IF(A8="","",ตั้งค่า!D9)</f>
        <v>1500</v>
      </c>
      <c r="C8" s="30" t="n">
        <f aca="false">IF(A8="","",SUMIFS(บันทึก!$I$5:$I$1004,บันทึก!$C$5:$C$1004,A8,บันทึก!$K$5:$K$1004,$C$3,บันทึก!$L$5:$L$1004,ตั้งค่า!$B$3))</f>
        <v>1380</v>
      </c>
      <c r="D8" s="30" t="n">
        <f aca="false">IF(A8="","",N(B8)-C8)</f>
        <v>120</v>
      </c>
      <c r="E8" s="31" t="n">
        <f aca="false">IF(OR(A8="",N(B8)=0),"",C8/B8)</f>
        <v>0.92</v>
      </c>
      <c r="F8" s="48" t="str">
        <f aca="false">IF(A8="","",IF(N(B8)=0,IF(C8&gt;0,"ไม่มีงบ","-"),IF(C8&gt;B8,"เกินงบ",IF(C8&gt;=0.8*B8,"ใกล้เต็ม","ปกติ"))))</f>
        <v>ใกล้เต็ม</v>
      </c>
    </row>
    <row r="9" customFormat="false" ht="15" hidden="false" customHeight="false" outlineLevel="0" collapsed="false">
      <c r="A9" s="46" t="str">
        <f aca="false">IF(ตั้งค่า!C10="","",ตั้งค่า!C10)</f>
        <v>เดินทาง / น้ำมัน</v>
      </c>
      <c r="B9" s="47" t="n">
        <f aca="false">IF(A9="","",ตั้งค่า!D10)</f>
        <v>2500</v>
      </c>
      <c r="C9" s="30" t="n">
        <f aca="false">IF(A9="","",SUMIFS(บันทึก!$I$5:$I$1004,บันทึก!$C$5:$C$1004,A9,บันทึก!$K$5:$K$1004,$C$3,บันทึก!$L$5:$L$1004,ตั้งค่า!$B$3))</f>
        <v>0</v>
      </c>
      <c r="D9" s="30" t="n">
        <f aca="false">IF(A9="","",N(B9)-C9)</f>
        <v>2500</v>
      </c>
      <c r="E9" s="31" t="n">
        <f aca="false">IF(OR(A9="",N(B9)=0),"",C9/B9)</f>
        <v>0</v>
      </c>
      <c r="F9" s="48" t="str">
        <f aca="false">IF(A9="","",IF(N(B9)=0,IF(C9&gt;0,"ไม่มีงบ","-"),IF(C9&gt;B9,"เกินงบ",IF(C9&gt;=0.8*B9,"ใกล้เต็ม","ปกติ"))))</f>
        <v>ปกติ</v>
      </c>
    </row>
    <row r="10" customFormat="false" ht="15" hidden="false" customHeight="false" outlineLevel="0" collapsed="false">
      <c r="A10" s="46" t="str">
        <f aca="false">IF(ตั้งค่า!C11="","",ตั้งค่า!C11)</f>
        <v>ช้อปปิ้ง</v>
      </c>
      <c r="B10" s="47" t="n">
        <f aca="false">IF(A10="","",ตั้งค่า!D11)</f>
        <v>2000</v>
      </c>
      <c r="C10" s="30" t="n">
        <f aca="false">IF(A10="","",SUMIFS(บันทึก!$I$5:$I$1004,บันทึก!$C$5:$C$1004,A10,บันทึก!$K$5:$K$1004,$C$3,บันทึก!$L$5:$L$1004,ตั้งค่า!$B$3))</f>
        <v>2890</v>
      </c>
      <c r="D10" s="30" t="n">
        <f aca="false">IF(A10="","",N(B10)-C10)</f>
        <v>-890</v>
      </c>
      <c r="E10" s="31" t="n">
        <f aca="false">IF(OR(A10="",N(B10)=0),"",C10/B10)</f>
        <v>1.445</v>
      </c>
      <c r="F10" s="48" t="str">
        <f aca="false">IF(A10="","",IF(N(B10)=0,IF(C10&gt;0,"ไม่มีงบ","-"),IF(C10&gt;B10,"เกินงบ",IF(C10&gt;=0.8*B10,"ใกล้เต็ม","ปกติ"))))</f>
        <v>เกินงบ</v>
      </c>
    </row>
    <row r="11" customFormat="false" ht="15" hidden="false" customHeight="false" outlineLevel="0" collapsed="false">
      <c r="A11" s="46" t="str">
        <f aca="false">IF(ตั้งค่า!C12="","",ตั้งค่า!C12)</f>
        <v>สุขภาพ &amp; ประกัน</v>
      </c>
      <c r="B11" s="47" t="n">
        <f aca="false">IF(A11="","",ตั้งค่า!D12)</f>
        <v>1000</v>
      </c>
      <c r="C11" s="30" t="n">
        <f aca="false">IF(A11="","",SUMIFS(บันทึก!$I$5:$I$1004,บันทึก!$C$5:$C$1004,A11,บันทึก!$K$5:$K$1004,$C$3,บันทึก!$L$5:$L$1004,ตั้งค่า!$B$3))</f>
        <v>0</v>
      </c>
      <c r="D11" s="30" t="n">
        <f aca="false">IF(A11="","",N(B11)-C11)</f>
        <v>1000</v>
      </c>
      <c r="E11" s="31" t="n">
        <f aca="false">IF(OR(A11="",N(B11)=0),"",C11/B11)</f>
        <v>0</v>
      </c>
      <c r="F11" s="48" t="str">
        <f aca="false">IF(A11="","",IF(N(B11)=0,IF(C11&gt;0,"ไม่มีงบ","-"),IF(C11&gt;B11,"เกินงบ",IF(C11&gt;=0.8*B11,"ใกล้เต็ม","ปกติ"))))</f>
        <v>ปกติ</v>
      </c>
    </row>
    <row r="12" customFormat="false" ht="15" hidden="false" customHeight="false" outlineLevel="0" collapsed="false">
      <c r="A12" s="46" t="str">
        <f aca="false">IF(ตั้งค่า!C13="","",ตั้งค่า!C13)</f>
        <v>การศึกษา</v>
      </c>
      <c r="B12" s="47" t="n">
        <f aca="false">IF(A12="","",ตั้งค่า!D13)</f>
        <v>500</v>
      </c>
      <c r="C12" s="30" t="n">
        <f aca="false">IF(A12="","",SUMIFS(บันทึก!$I$5:$I$1004,บันทึก!$C$5:$C$1004,A12,บันทึก!$K$5:$K$1004,$C$3,บันทึก!$L$5:$L$1004,ตั้งค่า!$B$3))</f>
        <v>0</v>
      </c>
      <c r="D12" s="30" t="n">
        <f aca="false">IF(A12="","",N(B12)-C12)</f>
        <v>500</v>
      </c>
      <c r="E12" s="31" t="n">
        <f aca="false">IF(OR(A12="",N(B12)=0),"",C12/B12)</f>
        <v>0</v>
      </c>
      <c r="F12" s="48" t="str">
        <f aca="false">IF(A12="","",IF(N(B12)=0,IF(C12&gt;0,"ไม่มีงบ","-"),IF(C12&gt;B12,"เกินงบ",IF(C12&gt;=0.8*B12,"ใกล้เต็ม","ปกติ"))))</f>
        <v>ปกติ</v>
      </c>
    </row>
    <row r="13" customFormat="false" ht="15" hidden="false" customHeight="false" outlineLevel="0" collapsed="false">
      <c r="A13" s="46" t="str">
        <f aca="false">IF(ตั้งค่า!C14="","",ตั้งค่า!C14)</f>
        <v>บันเทิง &amp; สมาชิกรายเดือน</v>
      </c>
      <c r="B13" s="47" t="n">
        <f aca="false">IF(A13="","",ตั้งค่า!D14)</f>
        <v>800</v>
      </c>
      <c r="C13" s="30" t="n">
        <f aca="false">IF(A13="","",SUMIFS(บันทึก!$I$5:$I$1004,บันทึก!$C$5:$C$1004,A13,บันทึก!$K$5:$K$1004,$C$3,บันทึก!$L$5:$L$1004,ตั้งค่า!$B$3))</f>
        <v>548</v>
      </c>
      <c r="D13" s="30" t="n">
        <f aca="false">IF(A13="","",N(B13)-C13)</f>
        <v>252</v>
      </c>
      <c r="E13" s="31" t="n">
        <f aca="false">IF(OR(A13="",N(B13)=0),"",C13/B13)</f>
        <v>0.685</v>
      </c>
      <c r="F13" s="48" t="str">
        <f aca="false">IF(A13="","",IF(N(B13)=0,IF(C13&gt;0,"ไม่มีงบ","-"),IF(C13&gt;B13,"เกินงบ",IF(C13&gt;=0.8*B13,"ใกล้เต็ม","ปกติ"))))</f>
        <v>ปกติ</v>
      </c>
    </row>
    <row r="14" customFormat="false" ht="15" hidden="false" customHeight="false" outlineLevel="0" collapsed="false">
      <c r="A14" s="46" t="str">
        <f aca="false">IF(ตั้งค่า!C15="","",ตั้งค่า!C15)</f>
        <v>ครอบครัว</v>
      </c>
      <c r="B14" s="47" t="n">
        <f aca="false">IF(A14="","",ตั้งค่า!D15)</f>
        <v>2000</v>
      </c>
      <c r="C14" s="30" t="n">
        <f aca="false">IF(A14="","",SUMIFS(บันทึก!$I$5:$I$1004,บันทึก!$C$5:$C$1004,A14,บันทึก!$K$5:$K$1004,$C$3,บันทึก!$L$5:$L$1004,ตั้งค่า!$B$3))</f>
        <v>0</v>
      </c>
      <c r="D14" s="30" t="n">
        <f aca="false">IF(A14="","",N(B14)-C14)</f>
        <v>2000</v>
      </c>
      <c r="E14" s="31" t="n">
        <f aca="false">IF(OR(A14="",N(B14)=0),"",C14/B14)</f>
        <v>0</v>
      </c>
      <c r="F14" s="48" t="str">
        <f aca="false">IF(A14="","",IF(N(B14)=0,IF(C14&gt;0,"ไม่มีงบ","-"),IF(C14&gt;B14,"เกินงบ",IF(C14&gt;=0.8*B14,"ใกล้เต็ม","ปกติ"))))</f>
        <v>ปกติ</v>
      </c>
    </row>
    <row r="15" customFormat="false" ht="15" hidden="false" customHeight="false" outlineLevel="0" collapsed="false">
      <c r="A15" s="46" t="str">
        <f aca="false">IF(ตั้งค่า!C16="","",ตั้งค่า!C16)</f>
        <v>ผ่อนชำระ / หนี้</v>
      </c>
      <c r="B15" s="47" t="n">
        <f aca="false">IF(A15="","",ตั้งค่า!D16)</f>
        <v>3000</v>
      </c>
      <c r="C15" s="30" t="n">
        <f aca="false">IF(A15="","",SUMIFS(บันทึก!$I$5:$I$1004,บันทึก!$C$5:$C$1004,A15,บันทึก!$K$5:$K$1004,$C$3,บันทึก!$L$5:$L$1004,ตั้งค่า!$B$3))</f>
        <v>0</v>
      </c>
      <c r="D15" s="30" t="n">
        <f aca="false">IF(A15="","",N(B15)-C15)</f>
        <v>3000</v>
      </c>
      <c r="E15" s="31" t="n">
        <f aca="false">IF(OR(A15="",N(B15)=0),"",C15/B15)</f>
        <v>0</v>
      </c>
      <c r="F15" s="48" t="str">
        <f aca="false">IF(A15="","",IF(N(B15)=0,IF(C15&gt;0,"ไม่มีงบ","-"),IF(C15&gt;B15,"เกินงบ",IF(C15&gt;=0.8*B15,"ใกล้เต็ม","ปกติ"))))</f>
        <v>ปกติ</v>
      </c>
    </row>
    <row r="16" customFormat="false" ht="15" hidden="false" customHeight="false" outlineLevel="0" collapsed="false">
      <c r="A16" s="46" t="str">
        <f aca="false">IF(ตั้งค่า!C17="","",ตั้งค่า!C17)</f>
        <v>ออม &amp; ลงทุน</v>
      </c>
      <c r="B16" s="47" t="n">
        <f aca="false">IF(A16="","",ตั้งค่า!D17)</f>
        <v>5000</v>
      </c>
      <c r="C16" s="30" t="n">
        <f aca="false">IF(A16="","",SUMIFS(บันทึก!$I$5:$I$1004,บันทึก!$C$5:$C$1004,A16,บันทึก!$K$5:$K$1004,$C$3,บันทึก!$L$5:$L$1004,ตั้งค่า!$B$3))</f>
        <v>5000</v>
      </c>
      <c r="D16" s="30" t="n">
        <f aca="false">IF(A16="","",N(B16)-C16)</f>
        <v>0</v>
      </c>
      <c r="E16" s="31" t="n">
        <f aca="false">IF(OR(A16="",N(B16)=0),"",C16/B16)</f>
        <v>1</v>
      </c>
      <c r="F16" s="48" t="str">
        <f aca="false">IF(A16="","",IF(N(B16)=0,IF(C16&gt;0,"ไม่มีงบ","-"),IF(C16&gt;B16,"เกินงบ",IF(C16&gt;=0.8*B16,"ใกล้เต็ม","ปกติ"))))</f>
        <v>ใกล้เต็ม</v>
      </c>
    </row>
    <row r="17" customFormat="false" ht="15" hidden="false" customHeight="false" outlineLevel="0" collapsed="false">
      <c r="A17" s="46" t="str">
        <f aca="false">IF(ตั้งค่า!C18="","",ตั้งค่า!C18)</f>
        <v>ทำบุญ / ของขวัญ</v>
      </c>
      <c r="B17" s="47" t="n">
        <f aca="false">IF(A17="","",ตั้งค่า!D18)</f>
        <v>500</v>
      </c>
      <c r="C17" s="30" t="n">
        <f aca="false">IF(A17="","",SUMIFS(บันทึก!$I$5:$I$1004,บันทึก!$C$5:$C$1004,A17,บันทึก!$K$5:$K$1004,$C$3,บันทึก!$L$5:$L$1004,ตั้งค่า!$B$3))</f>
        <v>0</v>
      </c>
      <c r="D17" s="30" t="n">
        <f aca="false">IF(A17="","",N(B17)-C17)</f>
        <v>500</v>
      </c>
      <c r="E17" s="31" t="n">
        <f aca="false">IF(OR(A17="",N(B17)=0),"",C17/B17)</f>
        <v>0</v>
      </c>
      <c r="F17" s="48" t="str">
        <f aca="false">IF(A17="","",IF(N(B17)=0,IF(C17&gt;0,"ไม่มีงบ","-"),IF(C17&gt;B17,"เกินงบ",IF(C17&gt;=0.8*B17,"ใกล้เต็ม","ปกติ"))))</f>
        <v>ปกติ</v>
      </c>
    </row>
    <row r="18" customFormat="false" ht="15" hidden="false" customHeight="false" outlineLevel="0" collapsed="false">
      <c r="A18" s="46" t="str">
        <f aca="false">IF(ตั้งค่า!C19="","",ตั้งค่า!C19)</f>
        <v>รายจ่ายอื่น ๆ</v>
      </c>
      <c r="B18" s="47" t="n">
        <f aca="false">IF(A18="","",ตั้งค่า!D19)</f>
        <v>1000</v>
      </c>
      <c r="C18" s="30" t="n">
        <f aca="false">IF(A18="","",SUMIFS(บันทึก!$I$5:$I$1004,บันทึก!$C$5:$C$1004,A18,บันทึก!$K$5:$K$1004,$C$3,บันทึก!$L$5:$L$1004,ตั้งค่า!$B$3))</f>
        <v>0</v>
      </c>
      <c r="D18" s="30" t="n">
        <f aca="false">IF(A18="","",N(B18)-C18)</f>
        <v>1000</v>
      </c>
      <c r="E18" s="31" t="n">
        <f aca="false">IF(OR(A18="",N(B18)=0),"",C18/B18)</f>
        <v>0</v>
      </c>
      <c r="F18" s="48" t="str">
        <f aca="false">IF(A18="","",IF(N(B18)=0,IF(C18&gt;0,"ไม่มีงบ","-"),IF(C18&gt;B18,"เกินงบ",IF(C18&gt;=0.8*B18,"ใกล้เต็ม","ปกติ"))))</f>
        <v>ปกติ</v>
      </c>
    </row>
    <row r="19" customFormat="false" ht="15" hidden="false" customHeight="false" outlineLevel="0" collapsed="false">
      <c r="A19" s="46" t="str">
        <f aca="false">IF(ตั้งค่า!C20="","",ตั้งค่า!C20)</f>
        <v/>
      </c>
      <c r="B19" s="47" t="str">
        <f aca="false">IF(A19="","",ตั้งค่า!D20)</f>
        <v/>
      </c>
      <c r="C19" s="30" t="str">
        <f aca="false">IF(A19="","",SUMIFS(บันทึก!$I$5:$I$1004,บันทึก!$C$5:$C$1004,A19,บันทึก!$K$5:$K$1004,$C$3,บันทึก!$L$5:$L$1004,ตั้งค่า!$B$3))</f>
        <v/>
      </c>
      <c r="D19" s="30" t="str">
        <f aca="false">IF(A19="","",N(B19)-C19)</f>
        <v/>
      </c>
      <c r="E19" s="31" t="str">
        <f aca="false">IF(OR(A19="",N(B19)=0),"",C19/B19)</f>
        <v/>
      </c>
      <c r="F19" s="48" t="str">
        <f aca="false">IF(A19="","",IF(N(B19)=0,IF(C19&gt;0,"ไม่มีงบ","-"),IF(C19&gt;B19,"เกินงบ",IF(C19&gt;=0.8*B19,"ใกล้เต็ม","ปกติ"))))</f>
        <v/>
      </c>
    </row>
    <row r="20" customFormat="false" ht="15" hidden="false" customHeight="false" outlineLevel="0" collapsed="false">
      <c r="A20" s="46" t="str">
        <f aca="false">IF(ตั้งค่า!C21="","",ตั้งค่า!C21)</f>
        <v/>
      </c>
      <c r="B20" s="47" t="str">
        <f aca="false">IF(A20="","",ตั้งค่า!D21)</f>
        <v/>
      </c>
      <c r="C20" s="30" t="str">
        <f aca="false">IF(A20="","",SUMIFS(บันทึก!$I$5:$I$1004,บันทึก!$C$5:$C$1004,A20,บันทึก!$K$5:$K$1004,$C$3,บันทึก!$L$5:$L$1004,ตั้งค่า!$B$3))</f>
        <v/>
      </c>
      <c r="D20" s="30" t="str">
        <f aca="false">IF(A20="","",N(B20)-C20)</f>
        <v/>
      </c>
      <c r="E20" s="31" t="str">
        <f aca="false">IF(OR(A20="",N(B20)=0),"",C20/B20)</f>
        <v/>
      </c>
      <c r="F20" s="48" t="str">
        <f aca="false">IF(A20="","",IF(N(B20)=0,IF(C20&gt;0,"ไม่มีงบ","-"),IF(C20&gt;B20,"เกินงบ",IF(C20&gt;=0.8*B20,"ใกล้เต็ม","ปกติ"))))</f>
        <v/>
      </c>
    </row>
    <row r="21" customFormat="false" ht="15" hidden="false" customHeight="false" outlineLevel="0" collapsed="false">
      <c r="A21" s="46" t="str">
        <f aca="false">IF(ตั้งค่า!C22="","",ตั้งค่า!C22)</f>
        <v/>
      </c>
      <c r="B21" s="47" t="str">
        <f aca="false">IF(A21="","",ตั้งค่า!D22)</f>
        <v/>
      </c>
      <c r="C21" s="30" t="str">
        <f aca="false">IF(A21="","",SUMIFS(บันทึก!$I$5:$I$1004,บันทึก!$C$5:$C$1004,A21,บันทึก!$K$5:$K$1004,$C$3,บันทึก!$L$5:$L$1004,ตั้งค่า!$B$3))</f>
        <v/>
      </c>
      <c r="D21" s="30" t="str">
        <f aca="false">IF(A21="","",N(B21)-C21)</f>
        <v/>
      </c>
      <c r="E21" s="31" t="str">
        <f aca="false">IF(OR(A21="",N(B21)=0),"",C21/B21)</f>
        <v/>
      </c>
      <c r="F21" s="48" t="str">
        <f aca="false">IF(A21="","",IF(N(B21)=0,IF(C21&gt;0,"ไม่มีงบ","-"),IF(C21&gt;B21,"เกินงบ",IF(C21&gt;=0.8*B21,"ใกล้เต็ม","ปกติ"))))</f>
        <v/>
      </c>
    </row>
    <row r="22" customFormat="false" ht="15" hidden="false" customHeight="false" outlineLevel="0" collapsed="false">
      <c r="A22" s="46" t="str">
        <f aca="false">IF(ตั้งค่า!C23="","",ตั้งค่า!C23)</f>
        <v/>
      </c>
      <c r="B22" s="47" t="str">
        <f aca="false">IF(A22="","",ตั้งค่า!D23)</f>
        <v/>
      </c>
      <c r="C22" s="30" t="str">
        <f aca="false">IF(A22="","",SUMIFS(บันทึก!$I$5:$I$1004,บันทึก!$C$5:$C$1004,A22,บันทึก!$K$5:$K$1004,$C$3,บันทึก!$L$5:$L$1004,ตั้งค่า!$B$3))</f>
        <v/>
      </c>
      <c r="D22" s="30" t="str">
        <f aca="false">IF(A22="","",N(B22)-C22)</f>
        <v/>
      </c>
      <c r="E22" s="31" t="str">
        <f aca="false">IF(OR(A22="",N(B22)=0),"",C22/B22)</f>
        <v/>
      </c>
      <c r="F22" s="48" t="str">
        <f aca="false">IF(A22="","",IF(N(B22)=0,IF(C22&gt;0,"ไม่มีงบ","-"),IF(C22&gt;B22,"เกินงบ",IF(C22&gt;=0.8*B22,"ใกล้เต็ม","ปกติ"))))</f>
        <v/>
      </c>
    </row>
    <row r="23" customFormat="false" ht="15" hidden="false" customHeight="false" outlineLevel="0" collapsed="false">
      <c r="A23" s="46" t="str">
        <f aca="false">IF(ตั้งค่า!C24="","",ตั้งค่า!C24)</f>
        <v/>
      </c>
      <c r="B23" s="47" t="str">
        <f aca="false">IF(A23="","",ตั้งค่า!D24)</f>
        <v/>
      </c>
      <c r="C23" s="30" t="str">
        <f aca="false">IF(A23="","",SUMIFS(บันทึก!$I$5:$I$1004,บันทึก!$C$5:$C$1004,A23,บันทึก!$K$5:$K$1004,$C$3,บันทึก!$L$5:$L$1004,ตั้งค่า!$B$3))</f>
        <v/>
      </c>
      <c r="D23" s="30" t="str">
        <f aca="false">IF(A23="","",N(B23)-C23)</f>
        <v/>
      </c>
      <c r="E23" s="31" t="str">
        <f aca="false">IF(OR(A23="",N(B23)=0),"",C23/B23)</f>
        <v/>
      </c>
      <c r="F23" s="48" t="str">
        <f aca="false">IF(A23="","",IF(N(B23)=0,IF(C23&gt;0,"ไม่มีงบ","-"),IF(C23&gt;B23,"เกินงบ",IF(C23&gt;=0.8*B23,"ใกล้เต็ม","ปกติ"))))</f>
        <v/>
      </c>
    </row>
    <row r="24" customFormat="false" ht="15" hidden="false" customHeight="false" outlineLevel="0" collapsed="false">
      <c r="A24" s="46" t="str">
        <f aca="false">IF(ตั้งค่า!C25="","",ตั้งค่า!C25)</f>
        <v/>
      </c>
      <c r="B24" s="47" t="str">
        <f aca="false">IF(A24="","",ตั้งค่า!D25)</f>
        <v/>
      </c>
      <c r="C24" s="30" t="str">
        <f aca="false">IF(A24="","",SUMIFS(บันทึก!$I$5:$I$1004,บันทึก!$C$5:$C$1004,A24,บันทึก!$K$5:$K$1004,$C$3,บันทึก!$L$5:$L$1004,ตั้งค่า!$B$3))</f>
        <v/>
      </c>
      <c r="D24" s="30" t="str">
        <f aca="false">IF(A24="","",N(B24)-C24)</f>
        <v/>
      </c>
      <c r="E24" s="31" t="str">
        <f aca="false">IF(OR(A24="",N(B24)=0),"",C24/B24)</f>
        <v/>
      </c>
      <c r="F24" s="48" t="str">
        <f aca="false">IF(A24="","",IF(N(B24)=0,IF(C24&gt;0,"ไม่มีงบ","-"),IF(C24&gt;B24,"เกินงบ",IF(C24&gt;=0.8*B24,"ใกล้เต็ม","ปกติ"))))</f>
        <v/>
      </c>
    </row>
    <row r="25" customFormat="false" ht="15" hidden="false" customHeight="false" outlineLevel="0" collapsed="false">
      <c r="A25" s="46" t="str">
        <f aca="false">IF(ตั้งค่า!C26="","",ตั้งค่า!C26)</f>
        <v/>
      </c>
      <c r="B25" s="47" t="str">
        <f aca="false">IF(A25="","",ตั้งค่า!D26)</f>
        <v/>
      </c>
      <c r="C25" s="30" t="str">
        <f aca="false">IF(A25="","",SUMIFS(บันทึก!$I$5:$I$1004,บันทึก!$C$5:$C$1004,A25,บันทึก!$K$5:$K$1004,$C$3,บันทึก!$L$5:$L$1004,ตั้งค่า!$B$3))</f>
        <v/>
      </c>
      <c r="D25" s="30" t="str">
        <f aca="false">IF(A25="","",N(B25)-C25)</f>
        <v/>
      </c>
      <c r="E25" s="31" t="str">
        <f aca="false">IF(OR(A25="",N(B25)=0),"",C25/B25)</f>
        <v/>
      </c>
      <c r="F25" s="48" t="str">
        <f aca="false">IF(A25="","",IF(N(B25)=0,IF(C25&gt;0,"ไม่มีงบ","-"),IF(C25&gt;B25,"เกินงบ",IF(C25&gt;=0.8*B25,"ใกล้เต็ม","ปกติ"))))</f>
        <v/>
      </c>
    </row>
    <row r="26" customFormat="false" ht="15" hidden="false" customHeight="false" outlineLevel="0" collapsed="false">
      <c r="A26" s="46" t="str">
        <f aca="false">IF(ตั้งค่า!C27="","",ตั้งค่า!C27)</f>
        <v/>
      </c>
      <c r="B26" s="47" t="str">
        <f aca="false">IF(A26="","",ตั้งค่า!D27)</f>
        <v/>
      </c>
      <c r="C26" s="30" t="str">
        <f aca="false">IF(A26="","",SUMIFS(บันทึก!$I$5:$I$1004,บันทึก!$C$5:$C$1004,A26,บันทึก!$K$5:$K$1004,$C$3,บันทึก!$L$5:$L$1004,ตั้งค่า!$B$3))</f>
        <v/>
      </c>
      <c r="D26" s="30" t="str">
        <f aca="false">IF(A26="","",N(B26)-C26)</f>
        <v/>
      </c>
      <c r="E26" s="31" t="str">
        <f aca="false">IF(OR(A26="",N(B26)=0),"",C26/B26)</f>
        <v/>
      </c>
      <c r="F26" s="48" t="str">
        <f aca="false">IF(A26="","",IF(N(B26)=0,IF(C26&gt;0,"ไม่มีงบ","-"),IF(C26&gt;B26,"เกินงบ",IF(C26&gt;=0.8*B26,"ใกล้เต็ม","ปกติ"))))</f>
        <v/>
      </c>
    </row>
    <row r="27" customFormat="false" ht="15" hidden="false" customHeight="false" outlineLevel="0" collapsed="false">
      <c r="A27" s="46" t="str">
        <f aca="false">IF(ตั้งค่า!C28="","",ตั้งค่า!C28)</f>
        <v/>
      </c>
      <c r="B27" s="47" t="str">
        <f aca="false">IF(A27="","",ตั้งค่า!D28)</f>
        <v/>
      </c>
      <c r="C27" s="30" t="str">
        <f aca="false">IF(A27="","",SUMIFS(บันทึก!$I$5:$I$1004,บันทึก!$C$5:$C$1004,A27,บันทึก!$K$5:$K$1004,$C$3,บันทึก!$L$5:$L$1004,ตั้งค่า!$B$3))</f>
        <v/>
      </c>
      <c r="D27" s="30" t="str">
        <f aca="false">IF(A27="","",N(B27)-C27)</f>
        <v/>
      </c>
      <c r="E27" s="31" t="str">
        <f aca="false">IF(OR(A27="",N(B27)=0),"",C27/B27)</f>
        <v/>
      </c>
      <c r="F27" s="48" t="str">
        <f aca="false">IF(A27="","",IF(N(B27)=0,IF(C27&gt;0,"ไม่มีงบ","-"),IF(C27&gt;B27,"เกินงบ",IF(C27&gt;=0.8*B27,"ใกล้เต็ม","ปกติ"))))</f>
        <v/>
      </c>
    </row>
    <row r="28" customFormat="false" ht="15" hidden="false" customHeight="false" outlineLevel="0" collapsed="false">
      <c r="A28" s="46" t="str">
        <f aca="false">IF(ตั้งค่า!C29="","",ตั้งค่า!C29)</f>
        <v/>
      </c>
      <c r="B28" s="47" t="str">
        <f aca="false">IF(A28="","",ตั้งค่า!D29)</f>
        <v/>
      </c>
      <c r="C28" s="30" t="str">
        <f aca="false">IF(A28="","",SUMIFS(บันทึก!$I$5:$I$1004,บันทึก!$C$5:$C$1004,A28,บันทึก!$K$5:$K$1004,$C$3,บันทึก!$L$5:$L$1004,ตั้งค่า!$B$3))</f>
        <v/>
      </c>
      <c r="D28" s="30" t="str">
        <f aca="false">IF(A28="","",N(B28)-C28)</f>
        <v/>
      </c>
      <c r="E28" s="31" t="str">
        <f aca="false">IF(OR(A28="",N(B28)=0),"",C28/B28)</f>
        <v/>
      </c>
      <c r="F28" s="48" t="str">
        <f aca="false">IF(A28="","",IF(N(B28)=0,IF(C28&gt;0,"ไม่มีงบ","-"),IF(C28&gt;B28,"เกินงบ",IF(C28&gt;=0.8*B28,"ใกล้เต็ม","ปกติ"))))</f>
        <v/>
      </c>
    </row>
    <row r="29" customFormat="false" ht="15" hidden="false" customHeight="false" outlineLevel="0" collapsed="false">
      <c r="A29" s="46" t="str">
        <f aca="false">IF(ตั้งค่า!C30="","",ตั้งค่า!C30)</f>
        <v/>
      </c>
      <c r="B29" s="47" t="str">
        <f aca="false">IF(A29="","",ตั้งค่า!D30)</f>
        <v/>
      </c>
      <c r="C29" s="30" t="str">
        <f aca="false">IF(A29="","",SUMIFS(บันทึก!$I$5:$I$1004,บันทึก!$C$5:$C$1004,A29,บันทึก!$K$5:$K$1004,$C$3,บันทึก!$L$5:$L$1004,ตั้งค่า!$B$3))</f>
        <v/>
      </c>
      <c r="D29" s="30" t="str">
        <f aca="false">IF(A29="","",N(B29)-C29)</f>
        <v/>
      </c>
      <c r="E29" s="31" t="str">
        <f aca="false">IF(OR(A29="",N(B29)=0),"",C29/B29)</f>
        <v/>
      </c>
      <c r="F29" s="48" t="str">
        <f aca="false">IF(A29="","",IF(N(B29)=0,IF(C29&gt;0,"ไม่มีงบ","-"),IF(C29&gt;B29,"เกินงบ",IF(C29&gt;=0.8*B29,"ใกล้เต็ม","ปกติ"))))</f>
        <v/>
      </c>
    </row>
    <row r="30" customFormat="false" ht="15" hidden="false" customHeight="false" outlineLevel="0" collapsed="false">
      <c r="A30" s="46" t="str">
        <f aca="false">IF(ตั้งค่า!C31="","",ตั้งค่า!C31)</f>
        <v/>
      </c>
      <c r="B30" s="47" t="str">
        <f aca="false">IF(A30="","",ตั้งค่า!D31)</f>
        <v/>
      </c>
      <c r="C30" s="30" t="str">
        <f aca="false">IF(A30="","",SUMIFS(บันทึก!$I$5:$I$1004,บันทึก!$C$5:$C$1004,A30,บันทึก!$K$5:$K$1004,$C$3,บันทึก!$L$5:$L$1004,ตั้งค่า!$B$3))</f>
        <v/>
      </c>
      <c r="D30" s="30" t="str">
        <f aca="false">IF(A30="","",N(B30)-C30)</f>
        <v/>
      </c>
      <c r="E30" s="31" t="str">
        <f aca="false">IF(OR(A30="",N(B30)=0),"",C30/B30)</f>
        <v/>
      </c>
      <c r="F30" s="48" t="str">
        <f aca="false">IF(A30="","",IF(N(B30)=0,IF(C30&gt;0,"ไม่มีงบ","-"),IF(C30&gt;B30,"เกินงบ",IF(C30&gt;=0.8*B30,"ใกล้เต็ม","ปกติ"))))</f>
        <v/>
      </c>
    </row>
    <row r="31" customFormat="false" ht="15" hidden="false" customHeight="false" outlineLevel="0" collapsed="false">
      <c r="A31" s="39" t="s">
        <v>120</v>
      </c>
      <c r="B31" s="16" t="n">
        <f aca="false">SUM(B6:B30)</f>
        <v>33800</v>
      </c>
      <c r="C31" s="16" t="n">
        <f aca="false">SUM(C6:C30)</f>
        <v>10468</v>
      </c>
      <c r="D31" s="16" t="n">
        <f aca="false">B31-C31</f>
        <v>23332</v>
      </c>
      <c r="E31" s="40" t="n">
        <f aca="false">IF(B31=0,"",C31/B31)</f>
        <v>0.309704142011834</v>
      </c>
      <c r="F31" s="39"/>
    </row>
    <row r="33" customFormat="false" ht="15" hidden="false" customHeight="false" outlineLevel="0" collapsed="false">
      <c r="A33" s="49" t="s">
        <v>121</v>
      </c>
    </row>
    <row r="34" customFormat="false" ht="30" hidden="false" customHeight="true" outlineLevel="0" collapsed="false">
      <c r="A34" s="13" t="s">
        <v>68</v>
      </c>
      <c r="B34" s="13" t="s">
        <v>122</v>
      </c>
      <c r="C34" s="13" t="s">
        <v>123</v>
      </c>
      <c r="D34" s="13" t="s">
        <v>124</v>
      </c>
      <c r="E34" s="13" t="s">
        <v>125</v>
      </c>
      <c r="F34" s="13" t="s">
        <v>126</v>
      </c>
      <c r="G34" s="13" t="s">
        <v>127</v>
      </c>
      <c r="H34" s="13" t="s">
        <v>128</v>
      </c>
      <c r="I34" s="13" t="s">
        <v>129</v>
      </c>
      <c r="J34" s="13" t="s">
        <v>130</v>
      </c>
      <c r="K34" s="13" t="s">
        <v>131</v>
      </c>
      <c r="L34" s="13" t="s">
        <v>132</v>
      </c>
      <c r="M34" s="13" t="s">
        <v>133</v>
      </c>
      <c r="N34" s="13" t="s">
        <v>111</v>
      </c>
    </row>
    <row r="35" customFormat="false" ht="15" hidden="false" customHeight="false" outlineLevel="0" collapsed="false">
      <c r="A35" s="29" t="str">
        <f aca="false">A6</f>
        <v>อาหาร &amp; เครื่องดื่ม</v>
      </c>
      <c r="B35" s="50" t="n">
        <f aca="false">IF($A35="","",SUMIFS(บันทึก!$I$5:$I$1004,บันทึก!$C$5:$C$1004,$A35,บันทึก!$K$5:$K$1004,1,บันทึก!$L$5:$L$1004,ตั้งค่า!$B$3))</f>
        <v>0</v>
      </c>
      <c r="C35" s="50" t="n">
        <f aca="false">IF($A35="","",SUMIFS(บันทึก!$I$5:$I$1004,บันทึก!$C$5:$C$1004,$A35,บันทึก!$K$5:$K$1004,2,บันทึก!$L$5:$L$1004,ตั้งค่า!$B$3))</f>
        <v>0</v>
      </c>
      <c r="D35" s="50" t="n">
        <f aca="false">IF($A35="","",SUMIFS(บันทึก!$I$5:$I$1004,บันทึก!$C$5:$C$1004,$A35,บันทึก!$K$5:$K$1004,3,บันทึก!$L$5:$L$1004,ตั้งค่า!$B$3))</f>
        <v>0</v>
      </c>
      <c r="E35" s="50" t="n">
        <f aca="false">IF($A35="","",SUMIFS(บันทึก!$I$5:$I$1004,บันทึก!$C$5:$C$1004,$A35,บันทึก!$K$5:$K$1004,4,บันทึก!$L$5:$L$1004,ตั้งค่า!$B$3))</f>
        <v>0</v>
      </c>
      <c r="F35" s="50" t="n">
        <f aca="false">IF($A35="","",SUMIFS(บันทึก!$I$5:$I$1004,บันทึก!$C$5:$C$1004,$A35,บันทึก!$K$5:$K$1004,5,บันทึก!$L$5:$L$1004,ตั้งค่า!$B$3))</f>
        <v>0</v>
      </c>
      <c r="G35" s="50" t="n">
        <f aca="false">IF($A35="","",SUMIFS(บันทึก!$I$5:$I$1004,บันทึก!$C$5:$C$1004,$A35,บันทึก!$K$5:$K$1004,6,บันทึก!$L$5:$L$1004,ตั้งค่า!$B$3))</f>
        <v>0</v>
      </c>
      <c r="H35" s="50" t="n">
        <f aca="false">IF($A35="","",SUMIFS(บันทึก!$I$5:$I$1004,บันทึก!$C$5:$C$1004,$A35,บันทึก!$K$5:$K$1004,7,บันทึก!$L$5:$L$1004,ตั้งค่า!$B$3))</f>
        <v>0</v>
      </c>
      <c r="I35" s="50" t="n">
        <f aca="false">IF($A35="","",SUMIFS(บันทึก!$I$5:$I$1004,บันทึก!$C$5:$C$1004,$A35,บันทึก!$K$5:$K$1004,8,บันทึก!$L$5:$L$1004,ตั้งค่า!$B$3))</f>
        <v>0</v>
      </c>
      <c r="J35" s="50" t="n">
        <f aca="false">IF($A35="","",SUMIFS(บันทึก!$I$5:$I$1004,บันทึก!$C$5:$C$1004,$A35,บันทึก!$K$5:$K$1004,9,บันทึก!$L$5:$L$1004,ตั้งค่า!$B$3))</f>
        <v>1450</v>
      </c>
      <c r="K35" s="50" t="n">
        <f aca="false">IF($A35="","",SUMIFS(บันทึก!$I$5:$I$1004,บันทึก!$C$5:$C$1004,$A35,บันทึก!$K$5:$K$1004,10,บันทึก!$L$5:$L$1004,ตั้งค่า!$B$3))</f>
        <v>650</v>
      </c>
      <c r="L35" s="50" t="n">
        <f aca="false">IF($A35="","",SUMIFS(บันทึก!$I$5:$I$1004,บันทึก!$C$5:$C$1004,$A35,บันทึก!$K$5:$K$1004,11,บันทึก!$L$5:$L$1004,ตั้งค่า!$B$3))</f>
        <v>0</v>
      </c>
      <c r="M35" s="50" t="n">
        <f aca="false">IF($A35="","",SUMIFS(บันทึก!$I$5:$I$1004,บันทึก!$C$5:$C$1004,$A35,บันทึก!$K$5:$K$1004,12,บันทึก!$L$5:$L$1004,ตั้งค่า!$B$3))</f>
        <v>0</v>
      </c>
      <c r="N35" s="51" t="n">
        <f aca="false">IF($A35="","",SUM(B35:M35))</f>
        <v>2100</v>
      </c>
    </row>
    <row r="36" customFormat="false" ht="15" hidden="false" customHeight="false" outlineLevel="0" collapsed="false">
      <c r="A36" s="29" t="str">
        <f aca="false">A7</f>
        <v>ที่พัก / ค่าเช่า</v>
      </c>
      <c r="B36" s="50" t="n">
        <f aca="false">IF($A36="","",SUMIFS(บันทึก!$I$5:$I$1004,บันทึก!$C$5:$C$1004,$A36,บันทึก!$K$5:$K$1004,1,บันทึก!$L$5:$L$1004,ตั้งค่า!$B$3))</f>
        <v>0</v>
      </c>
      <c r="C36" s="50" t="n">
        <f aca="false">IF($A36="","",SUMIFS(บันทึก!$I$5:$I$1004,บันทึก!$C$5:$C$1004,$A36,บันทึก!$K$5:$K$1004,2,บันทึก!$L$5:$L$1004,ตั้งค่า!$B$3))</f>
        <v>0</v>
      </c>
      <c r="D36" s="50" t="n">
        <f aca="false">IF($A36="","",SUMIFS(บันทึก!$I$5:$I$1004,บันทึก!$C$5:$C$1004,$A36,บันทึก!$K$5:$K$1004,3,บันทึก!$L$5:$L$1004,ตั้งค่า!$B$3))</f>
        <v>0</v>
      </c>
      <c r="E36" s="50" t="n">
        <f aca="false">IF($A36="","",SUMIFS(บันทึก!$I$5:$I$1004,บันทึก!$C$5:$C$1004,$A36,บันทึก!$K$5:$K$1004,4,บันทึก!$L$5:$L$1004,ตั้งค่า!$B$3))</f>
        <v>0</v>
      </c>
      <c r="F36" s="50" t="n">
        <f aca="false">IF($A36="","",SUMIFS(บันทึก!$I$5:$I$1004,บันทึก!$C$5:$C$1004,$A36,บันทึก!$K$5:$K$1004,5,บันทึก!$L$5:$L$1004,ตั้งค่า!$B$3))</f>
        <v>0</v>
      </c>
      <c r="G36" s="50" t="n">
        <f aca="false">IF($A36="","",SUMIFS(บันทึก!$I$5:$I$1004,บันทึก!$C$5:$C$1004,$A36,บันทึก!$K$5:$K$1004,6,บันทึก!$L$5:$L$1004,ตั้งค่า!$B$3))</f>
        <v>0</v>
      </c>
      <c r="H36" s="50" t="n">
        <f aca="false">IF($A36="","",SUMIFS(บันทึก!$I$5:$I$1004,บันทึก!$C$5:$C$1004,$A36,บันทึก!$K$5:$K$1004,7,บันทึก!$L$5:$L$1004,ตั้งค่า!$B$3))</f>
        <v>0</v>
      </c>
      <c r="I36" s="50" t="n">
        <f aca="false">IF($A36="","",SUMIFS(บันทึก!$I$5:$I$1004,บันทึก!$C$5:$C$1004,$A36,บันทึก!$K$5:$K$1004,8,บันทึก!$L$5:$L$1004,ตั้งค่า!$B$3))</f>
        <v>0</v>
      </c>
      <c r="J36" s="50" t="n">
        <f aca="false">IF($A36="","",SUMIFS(บันทึก!$I$5:$I$1004,บันทึก!$C$5:$C$1004,$A36,บันทึก!$K$5:$K$1004,9,บันทึก!$L$5:$L$1004,ตั้งค่า!$B$3))</f>
        <v>8000</v>
      </c>
      <c r="K36" s="50" t="n">
        <f aca="false">IF($A36="","",SUMIFS(บันทึก!$I$5:$I$1004,บันทึก!$C$5:$C$1004,$A36,บันทึก!$K$5:$K$1004,10,บันทึก!$L$5:$L$1004,ตั้งค่า!$B$3))</f>
        <v>0</v>
      </c>
      <c r="L36" s="50" t="n">
        <f aca="false">IF($A36="","",SUMIFS(บันทึก!$I$5:$I$1004,บันทึก!$C$5:$C$1004,$A36,บันทึก!$K$5:$K$1004,11,บันทึก!$L$5:$L$1004,ตั้งค่า!$B$3))</f>
        <v>0</v>
      </c>
      <c r="M36" s="50" t="n">
        <f aca="false">IF($A36="","",SUMIFS(บันทึก!$I$5:$I$1004,บันทึก!$C$5:$C$1004,$A36,บันทึก!$K$5:$K$1004,12,บันทึก!$L$5:$L$1004,ตั้งค่า!$B$3))</f>
        <v>0</v>
      </c>
      <c r="N36" s="51" t="n">
        <f aca="false">IF($A36="","",SUM(B36:M36))</f>
        <v>8000</v>
      </c>
    </row>
    <row r="37" customFormat="false" ht="15" hidden="false" customHeight="false" outlineLevel="0" collapsed="false">
      <c r="A37" s="29" t="str">
        <f aca="false">A8</f>
        <v>ค่าน้ำ ค่าไฟ ค่าเน็ต</v>
      </c>
      <c r="B37" s="50" t="n">
        <f aca="false">IF($A37="","",SUMIFS(บันทึก!$I$5:$I$1004,บันทึก!$C$5:$C$1004,$A37,บันทึก!$K$5:$K$1004,1,บันทึก!$L$5:$L$1004,ตั้งค่า!$B$3))</f>
        <v>0</v>
      </c>
      <c r="C37" s="50" t="n">
        <f aca="false">IF($A37="","",SUMIFS(บันทึก!$I$5:$I$1004,บันทึก!$C$5:$C$1004,$A37,บันทึก!$K$5:$K$1004,2,บันทึก!$L$5:$L$1004,ตั้งค่า!$B$3))</f>
        <v>0</v>
      </c>
      <c r="D37" s="50" t="n">
        <f aca="false">IF($A37="","",SUMIFS(บันทึก!$I$5:$I$1004,บันทึก!$C$5:$C$1004,$A37,บันทึก!$K$5:$K$1004,3,บันทึก!$L$5:$L$1004,ตั้งค่า!$B$3))</f>
        <v>0</v>
      </c>
      <c r="E37" s="50" t="n">
        <f aca="false">IF($A37="","",SUMIFS(บันทึก!$I$5:$I$1004,บันทึก!$C$5:$C$1004,$A37,บันทึก!$K$5:$K$1004,4,บันทึก!$L$5:$L$1004,ตั้งค่า!$B$3))</f>
        <v>0</v>
      </c>
      <c r="F37" s="50" t="n">
        <f aca="false">IF($A37="","",SUMIFS(บันทึก!$I$5:$I$1004,บันทึก!$C$5:$C$1004,$A37,บันทึก!$K$5:$K$1004,5,บันทึก!$L$5:$L$1004,ตั้งค่า!$B$3))</f>
        <v>0</v>
      </c>
      <c r="G37" s="50" t="n">
        <f aca="false">IF($A37="","",SUMIFS(บันทึก!$I$5:$I$1004,บันทึก!$C$5:$C$1004,$A37,บันทึก!$K$5:$K$1004,6,บันทึก!$L$5:$L$1004,ตั้งค่า!$B$3))</f>
        <v>0</v>
      </c>
      <c r="H37" s="50" t="n">
        <f aca="false">IF($A37="","",SUMIFS(บันทึก!$I$5:$I$1004,บันทึก!$C$5:$C$1004,$A37,บันทึก!$K$5:$K$1004,7,บันทึก!$L$5:$L$1004,ตั้งค่า!$B$3))</f>
        <v>0</v>
      </c>
      <c r="I37" s="50" t="n">
        <f aca="false">IF($A37="","",SUMIFS(บันทึก!$I$5:$I$1004,บันทึก!$C$5:$C$1004,$A37,บันทึก!$K$5:$K$1004,8,บันทึก!$L$5:$L$1004,ตั้งค่า!$B$3))</f>
        <v>0</v>
      </c>
      <c r="J37" s="50" t="n">
        <f aca="false">IF($A37="","",SUMIFS(บันทึก!$I$5:$I$1004,บันทึก!$C$5:$C$1004,$A37,บันทึก!$K$5:$K$1004,9,บันทึก!$L$5:$L$1004,ตั้งค่า!$B$3))</f>
        <v>0</v>
      </c>
      <c r="K37" s="50" t="n">
        <f aca="false">IF($A37="","",SUMIFS(บันทึก!$I$5:$I$1004,บันทึก!$C$5:$C$1004,$A37,บันทึก!$K$5:$K$1004,10,บันทึก!$L$5:$L$1004,ตั้งค่า!$B$3))</f>
        <v>1380</v>
      </c>
      <c r="L37" s="50" t="n">
        <f aca="false">IF($A37="","",SUMIFS(บันทึก!$I$5:$I$1004,บันทึก!$C$5:$C$1004,$A37,บันทึก!$K$5:$K$1004,11,บันทึก!$L$5:$L$1004,ตั้งค่า!$B$3))</f>
        <v>0</v>
      </c>
      <c r="M37" s="50" t="n">
        <f aca="false">IF($A37="","",SUMIFS(บันทึก!$I$5:$I$1004,บันทึก!$C$5:$C$1004,$A37,บันทึก!$K$5:$K$1004,12,บันทึก!$L$5:$L$1004,ตั้งค่า!$B$3))</f>
        <v>0</v>
      </c>
      <c r="N37" s="51" t="n">
        <f aca="false">IF($A37="","",SUM(B37:M37))</f>
        <v>1380</v>
      </c>
    </row>
    <row r="38" customFormat="false" ht="15" hidden="false" customHeight="false" outlineLevel="0" collapsed="false">
      <c r="A38" s="29" t="str">
        <f aca="false">A9</f>
        <v>เดินทาง / น้ำมัน</v>
      </c>
      <c r="B38" s="50" t="n">
        <f aca="false">IF($A38="","",SUMIFS(บันทึก!$I$5:$I$1004,บันทึก!$C$5:$C$1004,$A38,บันทึก!$K$5:$K$1004,1,บันทึก!$L$5:$L$1004,ตั้งค่า!$B$3))</f>
        <v>0</v>
      </c>
      <c r="C38" s="50" t="n">
        <f aca="false">IF($A38="","",SUMIFS(บันทึก!$I$5:$I$1004,บันทึก!$C$5:$C$1004,$A38,บันทึก!$K$5:$K$1004,2,บันทึก!$L$5:$L$1004,ตั้งค่า!$B$3))</f>
        <v>0</v>
      </c>
      <c r="D38" s="50" t="n">
        <f aca="false">IF($A38="","",SUMIFS(บันทึก!$I$5:$I$1004,บันทึก!$C$5:$C$1004,$A38,บันทึก!$K$5:$K$1004,3,บันทึก!$L$5:$L$1004,ตั้งค่า!$B$3))</f>
        <v>0</v>
      </c>
      <c r="E38" s="50" t="n">
        <f aca="false">IF($A38="","",SUMIFS(บันทึก!$I$5:$I$1004,บันทึก!$C$5:$C$1004,$A38,บันทึก!$K$5:$K$1004,4,บันทึก!$L$5:$L$1004,ตั้งค่า!$B$3))</f>
        <v>0</v>
      </c>
      <c r="F38" s="50" t="n">
        <f aca="false">IF($A38="","",SUMIFS(บันทึก!$I$5:$I$1004,บันทึก!$C$5:$C$1004,$A38,บันทึก!$K$5:$K$1004,5,บันทึก!$L$5:$L$1004,ตั้งค่า!$B$3))</f>
        <v>0</v>
      </c>
      <c r="G38" s="50" t="n">
        <f aca="false">IF($A38="","",SUMIFS(บันทึก!$I$5:$I$1004,บันทึก!$C$5:$C$1004,$A38,บันทึก!$K$5:$K$1004,6,บันทึก!$L$5:$L$1004,ตั้งค่า!$B$3))</f>
        <v>0</v>
      </c>
      <c r="H38" s="50" t="n">
        <f aca="false">IF($A38="","",SUMIFS(บันทึก!$I$5:$I$1004,บันทึก!$C$5:$C$1004,$A38,บันทึก!$K$5:$K$1004,7,บันทึก!$L$5:$L$1004,ตั้งค่า!$B$3))</f>
        <v>0</v>
      </c>
      <c r="I38" s="50" t="n">
        <f aca="false">IF($A38="","",SUMIFS(บันทึก!$I$5:$I$1004,บันทึก!$C$5:$C$1004,$A38,บันทึก!$K$5:$K$1004,8,บันทึก!$L$5:$L$1004,ตั้งค่า!$B$3))</f>
        <v>0</v>
      </c>
      <c r="J38" s="50" t="n">
        <f aca="false">IF($A38="","",SUMIFS(บันทึก!$I$5:$I$1004,บันทึก!$C$5:$C$1004,$A38,บันทึก!$K$5:$K$1004,9,บันทึก!$L$5:$L$1004,ตั้งค่า!$B$3))</f>
        <v>1200</v>
      </c>
      <c r="K38" s="50" t="n">
        <f aca="false">IF($A38="","",SUMIFS(บันทึก!$I$5:$I$1004,บันทึก!$C$5:$C$1004,$A38,บันทึก!$K$5:$K$1004,10,บันทึก!$L$5:$L$1004,ตั้งค่า!$B$3))</f>
        <v>0</v>
      </c>
      <c r="L38" s="50" t="n">
        <f aca="false">IF($A38="","",SUMIFS(บันทึก!$I$5:$I$1004,บันทึก!$C$5:$C$1004,$A38,บันทึก!$K$5:$K$1004,11,บันทึก!$L$5:$L$1004,ตั้งค่า!$B$3))</f>
        <v>0</v>
      </c>
      <c r="M38" s="50" t="n">
        <f aca="false">IF($A38="","",SUMIFS(บันทึก!$I$5:$I$1004,บันทึก!$C$5:$C$1004,$A38,บันทึก!$K$5:$K$1004,12,บันทึก!$L$5:$L$1004,ตั้งค่า!$B$3))</f>
        <v>0</v>
      </c>
      <c r="N38" s="51" t="n">
        <f aca="false">IF($A38="","",SUM(B38:M38))</f>
        <v>1200</v>
      </c>
    </row>
    <row r="39" customFormat="false" ht="15" hidden="false" customHeight="false" outlineLevel="0" collapsed="false">
      <c r="A39" s="29" t="str">
        <f aca="false">A10</f>
        <v>ช้อปปิ้ง</v>
      </c>
      <c r="B39" s="50" t="n">
        <f aca="false">IF($A39="","",SUMIFS(บันทึก!$I$5:$I$1004,บันทึก!$C$5:$C$1004,$A39,บันทึก!$K$5:$K$1004,1,บันทึก!$L$5:$L$1004,ตั้งค่า!$B$3))</f>
        <v>0</v>
      </c>
      <c r="C39" s="50" t="n">
        <f aca="false">IF($A39="","",SUMIFS(บันทึก!$I$5:$I$1004,บันทึก!$C$5:$C$1004,$A39,บันทึก!$K$5:$K$1004,2,บันทึก!$L$5:$L$1004,ตั้งค่า!$B$3))</f>
        <v>0</v>
      </c>
      <c r="D39" s="50" t="n">
        <f aca="false">IF($A39="","",SUMIFS(บันทึก!$I$5:$I$1004,บันทึก!$C$5:$C$1004,$A39,บันทึก!$K$5:$K$1004,3,บันทึก!$L$5:$L$1004,ตั้งค่า!$B$3))</f>
        <v>0</v>
      </c>
      <c r="E39" s="50" t="n">
        <f aca="false">IF($A39="","",SUMIFS(บันทึก!$I$5:$I$1004,บันทึก!$C$5:$C$1004,$A39,บันทึก!$K$5:$K$1004,4,บันทึก!$L$5:$L$1004,ตั้งค่า!$B$3))</f>
        <v>0</v>
      </c>
      <c r="F39" s="50" t="n">
        <f aca="false">IF($A39="","",SUMIFS(บันทึก!$I$5:$I$1004,บันทึก!$C$5:$C$1004,$A39,บันทึก!$K$5:$K$1004,5,บันทึก!$L$5:$L$1004,ตั้งค่า!$B$3))</f>
        <v>0</v>
      </c>
      <c r="G39" s="50" t="n">
        <f aca="false">IF($A39="","",SUMIFS(บันทึก!$I$5:$I$1004,บันทึก!$C$5:$C$1004,$A39,บันทึก!$K$5:$K$1004,6,บันทึก!$L$5:$L$1004,ตั้งค่า!$B$3))</f>
        <v>0</v>
      </c>
      <c r="H39" s="50" t="n">
        <f aca="false">IF($A39="","",SUMIFS(บันทึก!$I$5:$I$1004,บันทึก!$C$5:$C$1004,$A39,บันทึก!$K$5:$K$1004,7,บันทึก!$L$5:$L$1004,ตั้งค่า!$B$3))</f>
        <v>0</v>
      </c>
      <c r="I39" s="50" t="n">
        <f aca="false">IF($A39="","",SUMIFS(บันทึก!$I$5:$I$1004,บันทึก!$C$5:$C$1004,$A39,บันทึก!$K$5:$K$1004,8,บันทึก!$L$5:$L$1004,ตั้งค่า!$B$3))</f>
        <v>0</v>
      </c>
      <c r="J39" s="50" t="n">
        <f aca="false">IF($A39="","",SUMIFS(บันทึก!$I$5:$I$1004,บันทึก!$C$5:$C$1004,$A39,บันทึก!$K$5:$K$1004,9,บันทึก!$L$5:$L$1004,ตั้งค่า!$B$3))</f>
        <v>0</v>
      </c>
      <c r="K39" s="50" t="n">
        <f aca="false">IF($A39="","",SUMIFS(บันทึก!$I$5:$I$1004,บันทึก!$C$5:$C$1004,$A39,บันทึก!$K$5:$K$1004,10,บันทึก!$L$5:$L$1004,ตั้งค่า!$B$3))</f>
        <v>2890</v>
      </c>
      <c r="L39" s="50" t="n">
        <f aca="false">IF($A39="","",SUMIFS(บันทึก!$I$5:$I$1004,บันทึก!$C$5:$C$1004,$A39,บันทึก!$K$5:$K$1004,11,บันทึก!$L$5:$L$1004,ตั้งค่า!$B$3))</f>
        <v>0</v>
      </c>
      <c r="M39" s="50" t="n">
        <f aca="false">IF($A39="","",SUMIFS(บันทึก!$I$5:$I$1004,บันทึก!$C$5:$C$1004,$A39,บันทึก!$K$5:$K$1004,12,บันทึก!$L$5:$L$1004,ตั้งค่า!$B$3))</f>
        <v>0</v>
      </c>
      <c r="N39" s="51" t="n">
        <f aca="false">IF($A39="","",SUM(B39:M39))</f>
        <v>2890</v>
      </c>
    </row>
    <row r="40" customFormat="false" ht="15" hidden="false" customHeight="false" outlineLevel="0" collapsed="false">
      <c r="A40" s="29" t="str">
        <f aca="false">A11</f>
        <v>สุขภาพ &amp; ประกัน</v>
      </c>
      <c r="B40" s="50" t="n">
        <f aca="false">IF($A40="","",SUMIFS(บันทึก!$I$5:$I$1004,บันทึก!$C$5:$C$1004,$A40,บันทึก!$K$5:$K$1004,1,บันทึก!$L$5:$L$1004,ตั้งค่า!$B$3))</f>
        <v>0</v>
      </c>
      <c r="C40" s="50" t="n">
        <f aca="false">IF($A40="","",SUMIFS(บันทึก!$I$5:$I$1004,บันทึก!$C$5:$C$1004,$A40,บันทึก!$K$5:$K$1004,2,บันทึก!$L$5:$L$1004,ตั้งค่า!$B$3))</f>
        <v>0</v>
      </c>
      <c r="D40" s="50" t="n">
        <f aca="false">IF($A40="","",SUMIFS(บันทึก!$I$5:$I$1004,บันทึก!$C$5:$C$1004,$A40,บันทึก!$K$5:$K$1004,3,บันทึก!$L$5:$L$1004,ตั้งค่า!$B$3))</f>
        <v>0</v>
      </c>
      <c r="E40" s="50" t="n">
        <f aca="false">IF($A40="","",SUMIFS(บันทึก!$I$5:$I$1004,บันทึก!$C$5:$C$1004,$A40,บันทึก!$K$5:$K$1004,4,บันทึก!$L$5:$L$1004,ตั้งค่า!$B$3))</f>
        <v>0</v>
      </c>
      <c r="F40" s="50" t="n">
        <f aca="false">IF($A40="","",SUMIFS(บันทึก!$I$5:$I$1004,บันทึก!$C$5:$C$1004,$A40,บันทึก!$K$5:$K$1004,5,บันทึก!$L$5:$L$1004,ตั้งค่า!$B$3))</f>
        <v>0</v>
      </c>
      <c r="G40" s="50" t="n">
        <f aca="false">IF($A40="","",SUMIFS(บันทึก!$I$5:$I$1004,บันทึก!$C$5:$C$1004,$A40,บันทึก!$K$5:$K$1004,6,บันทึก!$L$5:$L$1004,ตั้งค่า!$B$3))</f>
        <v>0</v>
      </c>
      <c r="H40" s="50" t="n">
        <f aca="false">IF($A40="","",SUMIFS(บันทึก!$I$5:$I$1004,บันทึก!$C$5:$C$1004,$A40,บันทึก!$K$5:$K$1004,7,บันทึก!$L$5:$L$1004,ตั้งค่า!$B$3))</f>
        <v>0</v>
      </c>
      <c r="I40" s="50" t="n">
        <f aca="false">IF($A40="","",SUMIFS(บันทึก!$I$5:$I$1004,บันทึก!$C$5:$C$1004,$A40,บันทึก!$K$5:$K$1004,8,บันทึก!$L$5:$L$1004,ตั้งค่า!$B$3))</f>
        <v>0</v>
      </c>
      <c r="J40" s="50" t="n">
        <f aca="false">IF($A40="","",SUMIFS(บันทึก!$I$5:$I$1004,บันทึก!$C$5:$C$1004,$A40,บันทึก!$K$5:$K$1004,9,บันทึก!$L$5:$L$1004,ตั้งค่า!$B$3))</f>
        <v>0</v>
      </c>
      <c r="K40" s="50" t="n">
        <f aca="false">IF($A40="","",SUMIFS(บันทึก!$I$5:$I$1004,บันทึก!$C$5:$C$1004,$A40,บันทึก!$K$5:$K$1004,10,บันทึก!$L$5:$L$1004,ตั้งค่า!$B$3))</f>
        <v>0</v>
      </c>
      <c r="L40" s="50" t="n">
        <f aca="false">IF($A40="","",SUMIFS(บันทึก!$I$5:$I$1004,บันทึก!$C$5:$C$1004,$A40,บันทึก!$K$5:$K$1004,11,บันทึก!$L$5:$L$1004,ตั้งค่า!$B$3))</f>
        <v>0</v>
      </c>
      <c r="M40" s="50" t="n">
        <f aca="false">IF($A40="","",SUMIFS(บันทึก!$I$5:$I$1004,บันทึก!$C$5:$C$1004,$A40,บันทึก!$K$5:$K$1004,12,บันทึก!$L$5:$L$1004,ตั้งค่า!$B$3))</f>
        <v>0</v>
      </c>
      <c r="N40" s="51" t="n">
        <f aca="false">IF($A40="","",SUM(B40:M40))</f>
        <v>0</v>
      </c>
    </row>
    <row r="41" customFormat="false" ht="15" hidden="false" customHeight="false" outlineLevel="0" collapsed="false">
      <c r="A41" s="29" t="str">
        <f aca="false">A12</f>
        <v>การศึกษา</v>
      </c>
      <c r="B41" s="50" t="n">
        <f aca="false">IF($A41="","",SUMIFS(บันทึก!$I$5:$I$1004,บันทึก!$C$5:$C$1004,$A41,บันทึก!$K$5:$K$1004,1,บันทึก!$L$5:$L$1004,ตั้งค่า!$B$3))</f>
        <v>0</v>
      </c>
      <c r="C41" s="50" t="n">
        <f aca="false">IF($A41="","",SUMIFS(บันทึก!$I$5:$I$1004,บันทึก!$C$5:$C$1004,$A41,บันทึก!$K$5:$K$1004,2,บันทึก!$L$5:$L$1004,ตั้งค่า!$B$3))</f>
        <v>0</v>
      </c>
      <c r="D41" s="50" t="n">
        <f aca="false">IF($A41="","",SUMIFS(บันทึก!$I$5:$I$1004,บันทึก!$C$5:$C$1004,$A41,บันทึก!$K$5:$K$1004,3,บันทึก!$L$5:$L$1004,ตั้งค่า!$B$3))</f>
        <v>0</v>
      </c>
      <c r="E41" s="50" t="n">
        <f aca="false">IF($A41="","",SUMIFS(บันทึก!$I$5:$I$1004,บันทึก!$C$5:$C$1004,$A41,บันทึก!$K$5:$K$1004,4,บันทึก!$L$5:$L$1004,ตั้งค่า!$B$3))</f>
        <v>0</v>
      </c>
      <c r="F41" s="50" t="n">
        <f aca="false">IF($A41="","",SUMIFS(บันทึก!$I$5:$I$1004,บันทึก!$C$5:$C$1004,$A41,บันทึก!$K$5:$K$1004,5,บันทึก!$L$5:$L$1004,ตั้งค่า!$B$3))</f>
        <v>0</v>
      </c>
      <c r="G41" s="50" t="n">
        <f aca="false">IF($A41="","",SUMIFS(บันทึก!$I$5:$I$1004,บันทึก!$C$5:$C$1004,$A41,บันทึก!$K$5:$K$1004,6,บันทึก!$L$5:$L$1004,ตั้งค่า!$B$3))</f>
        <v>0</v>
      </c>
      <c r="H41" s="50" t="n">
        <f aca="false">IF($A41="","",SUMIFS(บันทึก!$I$5:$I$1004,บันทึก!$C$5:$C$1004,$A41,บันทึก!$K$5:$K$1004,7,บันทึก!$L$5:$L$1004,ตั้งค่า!$B$3))</f>
        <v>0</v>
      </c>
      <c r="I41" s="50" t="n">
        <f aca="false">IF($A41="","",SUMIFS(บันทึก!$I$5:$I$1004,บันทึก!$C$5:$C$1004,$A41,บันทึก!$K$5:$K$1004,8,บันทึก!$L$5:$L$1004,ตั้งค่า!$B$3))</f>
        <v>0</v>
      </c>
      <c r="J41" s="50" t="n">
        <f aca="false">IF($A41="","",SUMIFS(บันทึก!$I$5:$I$1004,บันทึก!$C$5:$C$1004,$A41,บันทึก!$K$5:$K$1004,9,บันทึก!$L$5:$L$1004,ตั้งค่า!$B$3))</f>
        <v>0</v>
      </c>
      <c r="K41" s="50" t="n">
        <f aca="false">IF($A41="","",SUMIFS(บันทึก!$I$5:$I$1004,บันทึก!$C$5:$C$1004,$A41,บันทึก!$K$5:$K$1004,10,บันทึก!$L$5:$L$1004,ตั้งค่า!$B$3))</f>
        <v>0</v>
      </c>
      <c r="L41" s="50" t="n">
        <f aca="false">IF($A41="","",SUMIFS(บันทึก!$I$5:$I$1004,บันทึก!$C$5:$C$1004,$A41,บันทึก!$K$5:$K$1004,11,บันทึก!$L$5:$L$1004,ตั้งค่า!$B$3))</f>
        <v>0</v>
      </c>
      <c r="M41" s="50" t="n">
        <f aca="false">IF($A41="","",SUMIFS(บันทึก!$I$5:$I$1004,บันทึก!$C$5:$C$1004,$A41,บันทึก!$K$5:$K$1004,12,บันทึก!$L$5:$L$1004,ตั้งค่า!$B$3))</f>
        <v>0</v>
      </c>
      <c r="N41" s="51" t="n">
        <f aca="false">IF($A41="","",SUM(B41:M41))</f>
        <v>0</v>
      </c>
    </row>
    <row r="42" customFormat="false" ht="15" hidden="false" customHeight="false" outlineLevel="0" collapsed="false">
      <c r="A42" s="29" t="str">
        <f aca="false">A13</f>
        <v>บันเทิง &amp; สมาชิกรายเดือน</v>
      </c>
      <c r="B42" s="50" t="n">
        <f aca="false">IF($A42="","",SUMIFS(บันทึก!$I$5:$I$1004,บันทึก!$C$5:$C$1004,$A42,บันทึก!$K$5:$K$1004,1,บันทึก!$L$5:$L$1004,ตั้งค่า!$B$3))</f>
        <v>0</v>
      </c>
      <c r="C42" s="50" t="n">
        <f aca="false">IF($A42="","",SUMIFS(บันทึก!$I$5:$I$1004,บันทึก!$C$5:$C$1004,$A42,บันทึก!$K$5:$K$1004,2,บันทึก!$L$5:$L$1004,ตั้งค่า!$B$3))</f>
        <v>0</v>
      </c>
      <c r="D42" s="50" t="n">
        <f aca="false">IF($A42="","",SUMIFS(บันทึก!$I$5:$I$1004,บันทึก!$C$5:$C$1004,$A42,บันทึก!$K$5:$K$1004,3,บันทึก!$L$5:$L$1004,ตั้งค่า!$B$3))</f>
        <v>0</v>
      </c>
      <c r="E42" s="50" t="n">
        <f aca="false">IF($A42="","",SUMIFS(บันทึก!$I$5:$I$1004,บันทึก!$C$5:$C$1004,$A42,บันทึก!$K$5:$K$1004,4,บันทึก!$L$5:$L$1004,ตั้งค่า!$B$3))</f>
        <v>0</v>
      </c>
      <c r="F42" s="50" t="n">
        <f aca="false">IF($A42="","",SUMIFS(บันทึก!$I$5:$I$1004,บันทึก!$C$5:$C$1004,$A42,บันทึก!$K$5:$K$1004,5,บันทึก!$L$5:$L$1004,ตั้งค่า!$B$3))</f>
        <v>0</v>
      </c>
      <c r="G42" s="50" t="n">
        <f aca="false">IF($A42="","",SUMIFS(บันทึก!$I$5:$I$1004,บันทึก!$C$5:$C$1004,$A42,บันทึก!$K$5:$K$1004,6,บันทึก!$L$5:$L$1004,ตั้งค่า!$B$3))</f>
        <v>0</v>
      </c>
      <c r="H42" s="50" t="n">
        <f aca="false">IF($A42="","",SUMIFS(บันทึก!$I$5:$I$1004,บันทึก!$C$5:$C$1004,$A42,บันทึก!$K$5:$K$1004,7,บันทึก!$L$5:$L$1004,ตั้งค่า!$B$3))</f>
        <v>0</v>
      </c>
      <c r="I42" s="50" t="n">
        <f aca="false">IF($A42="","",SUMIFS(บันทึก!$I$5:$I$1004,บันทึก!$C$5:$C$1004,$A42,บันทึก!$K$5:$K$1004,8,บันทึก!$L$5:$L$1004,ตั้งค่า!$B$3))</f>
        <v>0</v>
      </c>
      <c r="J42" s="50" t="n">
        <f aca="false">IF($A42="","",SUMIFS(บันทึก!$I$5:$I$1004,บันทึก!$C$5:$C$1004,$A42,บันทึก!$K$5:$K$1004,9,บันทึก!$L$5:$L$1004,ตั้งค่า!$B$3))</f>
        <v>0</v>
      </c>
      <c r="K42" s="50" t="n">
        <f aca="false">IF($A42="","",SUMIFS(บันทึก!$I$5:$I$1004,บันทึก!$C$5:$C$1004,$A42,บันทึก!$K$5:$K$1004,10,บันทึก!$L$5:$L$1004,ตั้งค่า!$B$3))</f>
        <v>548</v>
      </c>
      <c r="L42" s="50" t="n">
        <f aca="false">IF($A42="","",SUMIFS(บันทึก!$I$5:$I$1004,บันทึก!$C$5:$C$1004,$A42,บันทึก!$K$5:$K$1004,11,บันทึก!$L$5:$L$1004,ตั้งค่า!$B$3))</f>
        <v>0</v>
      </c>
      <c r="M42" s="50" t="n">
        <f aca="false">IF($A42="","",SUMIFS(บันทึก!$I$5:$I$1004,บันทึก!$C$5:$C$1004,$A42,บันทึก!$K$5:$K$1004,12,บันทึก!$L$5:$L$1004,ตั้งค่า!$B$3))</f>
        <v>0</v>
      </c>
      <c r="N42" s="51" t="n">
        <f aca="false">IF($A42="","",SUM(B42:M42))</f>
        <v>548</v>
      </c>
    </row>
    <row r="43" customFormat="false" ht="15" hidden="false" customHeight="false" outlineLevel="0" collapsed="false">
      <c r="A43" s="29" t="str">
        <f aca="false">A14</f>
        <v>ครอบครัว</v>
      </c>
      <c r="B43" s="50" t="n">
        <f aca="false">IF($A43="","",SUMIFS(บันทึก!$I$5:$I$1004,บันทึก!$C$5:$C$1004,$A43,บันทึก!$K$5:$K$1004,1,บันทึก!$L$5:$L$1004,ตั้งค่า!$B$3))</f>
        <v>0</v>
      </c>
      <c r="C43" s="50" t="n">
        <f aca="false">IF($A43="","",SUMIFS(บันทึก!$I$5:$I$1004,บันทึก!$C$5:$C$1004,$A43,บันทึก!$K$5:$K$1004,2,บันทึก!$L$5:$L$1004,ตั้งค่า!$B$3))</f>
        <v>0</v>
      </c>
      <c r="D43" s="50" t="n">
        <f aca="false">IF($A43="","",SUMIFS(บันทึก!$I$5:$I$1004,บันทึก!$C$5:$C$1004,$A43,บันทึก!$K$5:$K$1004,3,บันทึก!$L$5:$L$1004,ตั้งค่า!$B$3))</f>
        <v>0</v>
      </c>
      <c r="E43" s="50" t="n">
        <f aca="false">IF($A43="","",SUMIFS(บันทึก!$I$5:$I$1004,บันทึก!$C$5:$C$1004,$A43,บันทึก!$K$5:$K$1004,4,บันทึก!$L$5:$L$1004,ตั้งค่า!$B$3))</f>
        <v>0</v>
      </c>
      <c r="F43" s="50" t="n">
        <f aca="false">IF($A43="","",SUMIFS(บันทึก!$I$5:$I$1004,บันทึก!$C$5:$C$1004,$A43,บันทึก!$K$5:$K$1004,5,บันทึก!$L$5:$L$1004,ตั้งค่า!$B$3))</f>
        <v>0</v>
      </c>
      <c r="G43" s="50" t="n">
        <f aca="false">IF($A43="","",SUMIFS(บันทึก!$I$5:$I$1004,บันทึก!$C$5:$C$1004,$A43,บันทึก!$K$5:$K$1004,6,บันทึก!$L$5:$L$1004,ตั้งค่า!$B$3))</f>
        <v>0</v>
      </c>
      <c r="H43" s="50" t="n">
        <f aca="false">IF($A43="","",SUMIFS(บันทึก!$I$5:$I$1004,บันทึก!$C$5:$C$1004,$A43,บันทึก!$K$5:$K$1004,7,บันทึก!$L$5:$L$1004,ตั้งค่า!$B$3))</f>
        <v>0</v>
      </c>
      <c r="I43" s="50" t="n">
        <f aca="false">IF($A43="","",SUMIFS(บันทึก!$I$5:$I$1004,บันทึก!$C$5:$C$1004,$A43,บันทึก!$K$5:$K$1004,8,บันทึก!$L$5:$L$1004,ตั้งค่า!$B$3))</f>
        <v>0</v>
      </c>
      <c r="J43" s="50" t="n">
        <f aca="false">IF($A43="","",SUMIFS(บันทึก!$I$5:$I$1004,บันทึก!$C$5:$C$1004,$A43,บันทึก!$K$5:$K$1004,9,บันทึก!$L$5:$L$1004,ตั้งค่า!$B$3))</f>
        <v>0</v>
      </c>
      <c r="K43" s="50" t="n">
        <f aca="false">IF($A43="","",SUMIFS(บันทึก!$I$5:$I$1004,บันทึก!$C$5:$C$1004,$A43,บันทึก!$K$5:$K$1004,10,บันทึก!$L$5:$L$1004,ตั้งค่า!$B$3))</f>
        <v>0</v>
      </c>
      <c r="L43" s="50" t="n">
        <f aca="false">IF($A43="","",SUMIFS(บันทึก!$I$5:$I$1004,บันทึก!$C$5:$C$1004,$A43,บันทึก!$K$5:$K$1004,11,บันทึก!$L$5:$L$1004,ตั้งค่า!$B$3))</f>
        <v>0</v>
      </c>
      <c r="M43" s="50" t="n">
        <f aca="false">IF($A43="","",SUMIFS(บันทึก!$I$5:$I$1004,บันทึก!$C$5:$C$1004,$A43,บันทึก!$K$5:$K$1004,12,บันทึก!$L$5:$L$1004,ตั้งค่า!$B$3))</f>
        <v>0</v>
      </c>
      <c r="N43" s="51" t="n">
        <f aca="false">IF($A43="","",SUM(B43:M43))</f>
        <v>0</v>
      </c>
    </row>
    <row r="44" customFormat="false" ht="15" hidden="false" customHeight="false" outlineLevel="0" collapsed="false">
      <c r="A44" s="29" t="str">
        <f aca="false">A15</f>
        <v>ผ่อนชำระ / หนี้</v>
      </c>
      <c r="B44" s="50" t="n">
        <f aca="false">IF($A44="","",SUMIFS(บันทึก!$I$5:$I$1004,บันทึก!$C$5:$C$1004,$A44,บันทึก!$K$5:$K$1004,1,บันทึก!$L$5:$L$1004,ตั้งค่า!$B$3))</f>
        <v>0</v>
      </c>
      <c r="C44" s="50" t="n">
        <f aca="false">IF($A44="","",SUMIFS(บันทึก!$I$5:$I$1004,บันทึก!$C$5:$C$1004,$A44,บันทึก!$K$5:$K$1004,2,บันทึก!$L$5:$L$1004,ตั้งค่า!$B$3))</f>
        <v>0</v>
      </c>
      <c r="D44" s="50" t="n">
        <f aca="false">IF($A44="","",SUMIFS(บันทึก!$I$5:$I$1004,บันทึก!$C$5:$C$1004,$A44,บันทึก!$K$5:$K$1004,3,บันทึก!$L$5:$L$1004,ตั้งค่า!$B$3))</f>
        <v>0</v>
      </c>
      <c r="E44" s="50" t="n">
        <f aca="false">IF($A44="","",SUMIFS(บันทึก!$I$5:$I$1004,บันทึก!$C$5:$C$1004,$A44,บันทึก!$K$5:$K$1004,4,บันทึก!$L$5:$L$1004,ตั้งค่า!$B$3))</f>
        <v>0</v>
      </c>
      <c r="F44" s="50" t="n">
        <f aca="false">IF($A44="","",SUMIFS(บันทึก!$I$5:$I$1004,บันทึก!$C$5:$C$1004,$A44,บันทึก!$K$5:$K$1004,5,บันทึก!$L$5:$L$1004,ตั้งค่า!$B$3))</f>
        <v>0</v>
      </c>
      <c r="G44" s="50" t="n">
        <f aca="false">IF($A44="","",SUMIFS(บันทึก!$I$5:$I$1004,บันทึก!$C$5:$C$1004,$A44,บันทึก!$K$5:$K$1004,6,บันทึก!$L$5:$L$1004,ตั้งค่า!$B$3))</f>
        <v>0</v>
      </c>
      <c r="H44" s="50" t="n">
        <f aca="false">IF($A44="","",SUMIFS(บันทึก!$I$5:$I$1004,บันทึก!$C$5:$C$1004,$A44,บันทึก!$K$5:$K$1004,7,บันทึก!$L$5:$L$1004,ตั้งค่า!$B$3))</f>
        <v>0</v>
      </c>
      <c r="I44" s="50" t="n">
        <f aca="false">IF($A44="","",SUMIFS(บันทึก!$I$5:$I$1004,บันทึก!$C$5:$C$1004,$A44,บันทึก!$K$5:$K$1004,8,บันทึก!$L$5:$L$1004,ตั้งค่า!$B$3))</f>
        <v>0</v>
      </c>
      <c r="J44" s="50" t="n">
        <f aca="false">IF($A44="","",SUMIFS(บันทึก!$I$5:$I$1004,บันทึก!$C$5:$C$1004,$A44,บันทึก!$K$5:$K$1004,9,บันทึก!$L$5:$L$1004,ตั้งค่า!$B$3))</f>
        <v>0</v>
      </c>
      <c r="K44" s="50" t="n">
        <f aca="false">IF($A44="","",SUMIFS(บันทึก!$I$5:$I$1004,บันทึก!$C$5:$C$1004,$A44,บันทึก!$K$5:$K$1004,10,บันทึก!$L$5:$L$1004,ตั้งค่า!$B$3))</f>
        <v>0</v>
      </c>
      <c r="L44" s="50" t="n">
        <f aca="false">IF($A44="","",SUMIFS(บันทึก!$I$5:$I$1004,บันทึก!$C$5:$C$1004,$A44,บันทึก!$K$5:$K$1004,11,บันทึก!$L$5:$L$1004,ตั้งค่า!$B$3))</f>
        <v>0</v>
      </c>
      <c r="M44" s="50" t="n">
        <f aca="false">IF($A44="","",SUMIFS(บันทึก!$I$5:$I$1004,บันทึก!$C$5:$C$1004,$A44,บันทึก!$K$5:$K$1004,12,บันทึก!$L$5:$L$1004,ตั้งค่า!$B$3))</f>
        <v>0</v>
      </c>
      <c r="N44" s="51" t="n">
        <f aca="false">IF($A44="","",SUM(B44:M44))</f>
        <v>0</v>
      </c>
    </row>
    <row r="45" customFormat="false" ht="15" hidden="false" customHeight="false" outlineLevel="0" collapsed="false">
      <c r="A45" s="29" t="str">
        <f aca="false">A16</f>
        <v>ออม &amp; ลงทุน</v>
      </c>
      <c r="B45" s="50" t="n">
        <f aca="false">IF($A45="","",SUMIFS(บันทึก!$I$5:$I$1004,บันทึก!$C$5:$C$1004,$A45,บันทึก!$K$5:$K$1004,1,บันทึก!$L$5:$L$1004,ตั้งค่า!$B$3))</f>
        <v>0</v>
      </c>
      <c r="C45" s="50" t="n">
        <f aca="false">IF($A45="","",SUMIFS(บันทึก!$I$5:$I$1004,บันทึก!$C$5:$C$1004,$A45,บันทึก!$K$5:$K$1004,2,บันทึก!$L$5:$L$1004,ตั้งค่า!$B$3))</f>
        <v>0</v>
      </c>
      <c r="D45" s="50" t="n">
        <f aca="false">IF($A45="","",SUMIFS(บันทึก!$I$5:$I$1004,บันทึก!$C$5:$C$1004,$A45,บันทึก!$K$5:$K$1004,3,บันทึก!$L$5:$L$1004,ตั้งค่า!$B$3))</f>
        <v>0</v>
      </c>
      <c r="E45" s="50" t="n">
        <f aca="false">IF($A45="","",SUMIFS(บันทึก!$I$5:$I$1004,บันทึก!$C$5:$C$1004,$A45,บันทึก!$K$5:$K$1004,4,บันทึก!$L$5:$L$1004,ตั้งค่า!$B$3))</f>
        <v>0</v>
      </c>
      <c r="F45" s="50" t="n">
        <f aca="false">IF($A45="","",SUMIFS(บันทึก!$I$5:$I$1004,บันทึก!$C$5:$C$1004,$A45,บันทึก!$K$5:$K$1004,5,บันทึก!$L$5:$L$1004,ตั้งค่า!$B$3))</f>
        <v>0</v>
      </c>
      <c r="G45" s="50" t="n">
        <f aca="false">IF($A45="","",SUMIFS(บันทึก!$I$5:$I$1004,บันทึก!$C$5:$C$1004,$A45,บันทึก!$K$5:$K$1004,6,บันทึก!$L$5:$L$1004,ตั้งค่า!$B$3))</f>
        <v>0</v>
      </c>
      <c r="H45" s="50" t="n">
        <f aca="false">IF($A45="","",SUMIFS(บันทึก!$I$5:$I$1004,บันทึก!$C$5:$C$1004,$A45,บันทึก!$K$5:$K$1004,7,บันทึก!$L$5:$L$1004,ตั้งค่า!$B$3))</f>
        <v>0</v>
      </c>
      <c r="I45" s="50" t="n">
        <f aca="false">IF($A45="","",SUMIFS(บันทึก!$I$5:$I$1004,บันทึก!$C$5:$C$1004,$A45,บันทึก!$K$5:$K$1004,8,บันทึก!$L$5:$L$1004,ตั้งค่า!$B$3))</f>
        <v>0</v>
      </c>
      <c r="J45" s="50" t="n">
        <f aca="false">IF($A45="","",SUMIFS(บันทึก!$I$5:$I$1004,บันทึก!$C$5:$C$1004,$A45,บันทึก!$K$5:$K$1004,9,บันทึก!$L$5:$L$1004,ตั้งค่า!$B$3))</f>
        <v>0</v>
      </c>
      <c r="K45" s="50" t="n">
        <f aca="false">IF($A45="","",SUMIFS(บันทึก!$I$5:$I$1004,บันทึก!$C$5:$C$1004,$A45,บันทึก!$K$5:$K$1004,10,บันทึก!$L$5:$L$1004,ตั้งค่า!$B$3))</f>
        <v>5000</v>
      </c>
      <c r="L45" s="50" t="n">
        <f aca="false">IF($A45="","",SUMIFS(บันทึก!$I$5:$I$1004,บันทึก!$C$5:$C$1004,$A45,บันทึก!$K$5:$K$1004,11,บันทึก!$L$5:$L$1004,ตั้งค่า!$B$3))</f>
        <v>0</v>
      </c>
      <c r="M45" s="50" t="n">
        <f aca="false">IF($A45="","",SUMIFS(บันทึก!$I$5:$I$1004,บันทึก!$C$5:$C$1004,$A45,บันทึก!$K$5:$K$1004,12,บันทึก!$L$5:$L$1004,ตั้งค่า!$B$3))</f>
        <v>0</v>
      </c>
      <c r="N45" s="51" t="n">
        <f aca="false">IF($A45="","",SUM(B45:M45))</f>
        <v>5000</v>
      </c>
    </row>
    <row r="46" customFormat="false" ht="15" hidden="false" customHeight="false" outlineLevel="0" collapsed="false">
      <c r="A46" s="29" t="str">
        <f aca="false">A17</f>
        <v>ทำบุญ / ของขวัญ</v>
      </c>
      <c r="B46" s="50" t="n">
        <f aca="false">IF($A46="","",SUMIFS(บันทึก!$I$5:$I$1004,บันทึก!$C$5:$C$1004,$A46,บันทึก!$K$5:$K$1004,1,บันทึก!$L$5:$L$1004,ตั้งค่า!$B$3))</f>
        <v>0</v>
      </c>
      <c r="C46" s="50" t="n">
        <f aca="false">IF($A46="","",SUMIFS(บันทึก!$I$5:$I$1004,บันทึก!$C$5:$C$1004,$A46,บันทึก!$K$5:$K$1004,2,บันทึก!$L$5:$L$1004,ตั้งค่า!$B$3))</f>
        <v>0</v>
      </c>
      <c r="D46" s="50" t="n">
        <f aca="false">IF($A46="","",SUMIFS(บันทึก!$I$5:$I$1004,บันทึก!$C$5:$C$1004,$A46,บันทึก!$K$5:$K$1004,3,บันทึก!$L$5:$L$1004,ตั้งค่า!$B$3))</f>
        <v>0</v>
      </c>
      <c r="E46" s="50" t="n">
        <f aca="false">IF($A46="","",SUMIFS(บันทึก!$I$5:$I$1004,บันทึก!$C$5:$C$1004,$A46,บันทึก!$K$5:$K$1004,4,บันทึก!$L$5:$L$1004,ตั้งค่า!$B$3))</f>
        <v>0</v>
      </c>
      <c r="F46" s="50" t="n">
        <f aca="false">IF($A46="","",SUMIFS(บันทึก!$I$5:$I$1004,บันทึก!$C$5:$C$1004,$A46,บันทึก!$K$5:$K$1004,5,บันทึก!$L$5:$L$1004,ตั้งค่า!$B$3))</f>
        <v>0</v>
      </c>
      <c r="G46" s="50" t="n">
        <f aca="false">IF($A46="","",SUMIFS(บันทึก!$I$5:$I$1004,บันทึก!$C$5:$C$1004,$A46,บันทึก!$K$5:$K$1004,6,บันทึก!$L$5:$L$1004,ตั้งค่า!$B$3))</f>
        <v>0</v>
      </c>
      <c r="H46" s="50" t="n">
        <f aca="false">IF($A46="","",SUMIFS(บันทึก!$I$5:$I$1004,บันทึก!$C$5:$C$1004,$A46,บันทึก!$K$5:$K$1004,7,บันทึก!$L$5:$L$1004,ตั้งค่า!$B$3))</f>
        <v>0</v>
      </c>
      <c r="I46" s="50" t="n">
        <f aca="false">IF($A46="","",SUMIFS(บันทึก!$I$5:$I$1004,บันทึก!$C$5:$C$1004,$A46,บันทึก!$K$5:$K$1004,8,บันทึก!$L$5:$L$1004,ตั้งค่า!$B$3))</f>
        <v>0</v>
      </c>
      <c r="J46" s="50" t="n">
        <f aca="false">IF($A46="","",SUMIFS(บันทึก!$I$5:$I$1004,บันทึก!$C$5:$C$1004,$A46,บันทึก!$K$5:$K$1004,9,บันทึก!$L$5:$L$1004,ตั้งค่า!$B$3))</f>
        <v>0</v>
      </c>
      <c r="K46" s="50" t="n">
        <f aca="false">IF($A46="","",SUMIFS(บันทึก!$I$5:$I$1004,บันทึก!$C$5:$C$1004,$A46,บันทึก!$K$5:$K$1004,10,บันทึก!$L$5:$L$1004,ตั้งค่า!$B$3))</f>
        <v>0</v>
      </c>
      <c r="L46" s="50" t="n">
        <f aca="false">IF($A46="","",SUMIFS(บันทึก!$I$5:$I$1004,บันทึก!$C$5:$C$1004,$A46,บันทึก!$K$5:$K$1004,11,บันทึก!$L$5:$L$1004,ตั้งค่า!$B$3))</f>
        <v>0</v>
      </c>
      <c r="M46" s="50" t="n">
        <f aca="false">IF($A46="","",SUMIFS(บันทึก!$I$5:$I$1004,บันทึก!$C$5:$C$1004,$A46,บันทึก!$K$5:$K$1004,12,บันทึก!$L$5:$L$1004,ตั้งค่า!$B$3))</f>
        <v>0</v>
      </c>
      <c r="N46" s="51" t="n">
        <f aca="false">IF($A46="","",SUM(B46:M46))</f>
        <v>0</v>
      </c>
    </row>
    <row r="47" customFormat="false" ht="15" hidden="false" customHeight="false" outlineLevel="0" collapsed="false">
      <c r="A47" s="29" t="str">
        <f aca="false">A18</f>
        <v>รายจ่ายอื่น ๆ</v>
      </c>
      <c r="B47" s="50" t="n">
        <f aca="false">IF($A47="","",SUMIFS(บันทึก!$I$5:$I$1004,บันทึก!$C$5:$C$1004,$A47,บันทึก!$K$5:$K$1004,1,บันทึก!$L$5:$L$1004,ตั้งค่า!$B$3))</f>
        <v>0</v>
      </c>
      <c r="C47" s="50" t="n">
        <f aca="false">IF($A47="","",SUMIFS(บันทึก!$I$5:$I$1004,บันทึก!$C$5:$C$1004,$A47,บันทึก!$K$5:$K$1004,2,บันทึก!$L$5:$L$1004,ตั้งค่า!$B$3))</f>
        <v>0</v>
      </c>
      <c r="D47" s="50" t="n">
        <f aca="false">IF($A47="","",SUMIFS(บันทึก!$I$5:$I$1004,บันทึก!$C$5:$C$1004,$A47,บันทึก!$K$5:$K$1004,3,บันทึก!$L$5:$L$1004,ตั้งค่า!$B$3))</f>
        <v>0</v>
      </c>
      <c r="E47" s="50" t="n">
        <f aca="false">IF($A47="","",SUMIFS(บันทึก!$I$5:$I$1004,บันทึก!$C$5:$C$1004,$A47,บันทึก!$K$5:$K$1004,4,บันทึก!$L$5:$L$1004,ตั้งค่า!$B$3))</f>
        <v>0</v>
      </c>
      <c r="F47" s="50" t="n">
        <f aca="false">IF($A47="","",SUMIFS(บันทึก!$I$5:$I$1004,บันทึก!$C$5:$C$1004,$A47,บันทึก!$K$5:$K$1004,5,บันทึก!$L$5:$L$1004,ตั้งค่า!$B$3))</f>
        <v>0</v>
      </c>
      <c r="G47" s="50" t="n">
        <f aca="false">IF($A47="","",SUMIFS(บันทึก!$I$5:$I$1004,บันทึก!$C$5:$C$1004,$A47,บันทึก!$K$5:$K$1004,6,บันทึก!$L$5:$L$1004,ตั้งค่า!$B$3))</f>
        <v>0</v>
      </c>
      <c r="H47" s="50" t="n">
        <f aca="false">IF($A47="","",SUMIFS(บันทึก!$I$5:$I$1004,บันทึก!$C$5:$C$1004,$A47,บันทึก!$K$5:$K$1004,7,บันทึก!$L$5:$L$1004,ตั้งค่า!$B$3))</f>
        <v>0</v>
      </c>
      <c r="I47" s="50" t="n">
        <f aca="false">IF($A47="","",SUMIFS(บันทึก!$I$5:$I$1004,บันทึก!$C$5:$C$1004,$A47,บันทึก!$K$5:$K$1004,8,บันทึก!$L$5:$L$1004,ตั้งค่า!$B$3))</f>
        <v>0</v>
      </c>
      <c r="J47" s="50" t="n">
        <f aca="false">IF($A47="","",SUMIFS(บันทึก!$I$5:$I$1004,บันทึก!$C$5:$C$1004,$A47,บันทึก!$K$5:$K$1004,9,บันทึก!$L$5:$L$1004,ตั้งค่า!$B$3))</f>
        <v>0</v>
      </c>
      <c r="K47" s="50" t="n">
        <f aca="false">IF($A47="","",SUMIFS(บันทึก!$I$5:$I$1004,บันทึก!$C$5:$C$1004,$A47,บันทึก!$K$5:$K$1004,10,บันทึก!$L$5:$L$1004,ตั้งค่า!$B$3))</f>
        <v>0</v>
      </c>
      <c r="L47" s="50" t="n">
        <f aca="false">IF($A47="","",SUMIFS(บันทึก!$I$5:$I$1004,บันทึก!$C$5:$C$1004,$A47,บันทึก!$K$5:$K$1004,11,บันทึก!$L$5:$L$1004,ตั้งค่า!$B$3))</f>
        <v>0</v>
      </c>
      <c r="M47" s="50" t="n">
        <f aca="false">IF($A47="","",SUMIFS(บันทึก!$I$5:$I$1004,บันทึก!$C$5:$C$1004,$A47,บันทึก!$K$5:$K$1004,12,บันทึก!$L$5:$L$1004,ตั้งค่า!$B$3))</f>
        <v>0</v>
      </c>
      <c r="N47" s="51" t="n">
        <f aca="false">IF($A47="","",SUM(B47:M47))</f>
        <v>0</v>
      </c>
    </row>
    <row r="48" customFormat="false" ht="15" hidden="false" customHeight="false" outlineLevel="0" collapsed="false">
      <c r="A48" s="29" t="str">
        <f aca="false">A19</f>
        <v/>
      </c>
      <c r="B48" s="50" t="str">
        <f aca="false">IF($A48="","",SUMIFS(บันทึก!$I$5:$I$1004,บันทึก!$C$5:$C$1004,$A48,บันทึก!$K$5:$K$1004,1,บันทึก!$L$5:$L$1004,ตั้งค่า!$B$3))</f>
        <v/>
      </c>
      <c r="C48" s="50" t="str">
        <f aca="false">IF($A48="","",SUMIFS(บันทึก!$I$5:$I$1004,บันทึก!$C$5:$C$1004,$A48,บันทึก!$K$5:$K$1004,2,บันทึก!$L$5:$L$1004,ตั้งค่า!$B$3))</f>
        <v/>
      </c>
      <c r="D48" s="50" t="str">
        <f aca="false">IF($A48="","",SUMIFS(บันทึก!$I$5:$I$1004,บันทึก!$C$5:$C$1004,$A48,บันทึก!$K$5:$K$1004,3,บันทึก!$L$5:$L$1004,ตั้งค่า!$B$3))</f>
        <v/>
      </c>
      <c r="E48" s="50" t="str">
        <f aca="false">IF($A48="","",SUMIFS(บันทึก!$I$5:$I$1004,บันทึก!$C$5:$C$1004,$A48,บันทึก!$K$5:$K$1004,4,บันทึก!$L$5:$L$1004,ตั้งค่า!$B$3))</f>
        <v/>
      </c>
      <c r="F48" s="50" t="str">
        <f aca="false">IF($A48="","",SUMIFS(บันทึก!$I$5:$I$1004,บันทึก!$C$5:$C$1004,$A48,บันทึก!$K$5:$K$1004,5,บันทึก!$L$5:$L$1004,ตั้งค่า!$B$3))</f>
        <v/>
      </c>
      <c r="G48" s="50" t="str">
        <f aca="false">IF($A48="","",SUMIFS(บันทึก!$I$5:$I$1004,บันทึก!$C$5:$C$1004,$A48,บันทึก!$K$5:$K$1004,6,บันทึก!$L$5:$L$1004,ตั้งค่า!$B$3))</f>
        <v/>
      </c>
      <c r="H48" s="50" t="str">
        <f aca="false">IF($A48="","",SUMIFS(บันทึก!$I$5:$I$1004,บันทึก!$C$5:$C$1004,$A48,บันทึก!$K$5:$K$1004,7,บันทึก!$L$5:$L$1004,ตั้งค่า!$B$3))</f>
        <v/>
      </c>
      <c r="I48" s="50" t="str">
        <f aca="false">IF($A48="","",SUMIFS(บันทึก!$I$5:$I$1004,บันทึก!$C$5:$C$1004,$A48,บันทึก!$K$5:$K$1004,8,บันทึก!$L$5:$L$1004,ตั้งค่า!$B$3))</f>
        <v/>
      </c>
      <c r="J48" s="50" t="str">
        <f aca="false">IF($A48="","",SUMIFS(บันทึก!$I$5:$I$1004,บันทึก!$C$5:$C$1004,$A48,บันทึก!$K$5:$K$1004,9,บันทึก!$L$5:$L$1004,ตั้งค่า!$B$3))</f>
        <v/>
      </c>
      <c r="K48" s="50" t="str">
        <f aca="false">IF($A48="","",SUMIFS(บันทึก!$I$5:$I$1004,บันทึก!$C$5:$C$1004,$A48,บันทึก!$K$5:$K$1004,10,บันทึก!$L$5:$L$1004,ตั้งค่า!$B$3))</f>
        <v/>
      </c>
      <c r="L48" s="50" t="str">
        <f aca="false">IF($A48="","",SUMIFS(บันทึก!$I$5:$I$1004,บันทึก!$C$5:$C$1004,$A48,บันทึก!$K$5:$K$1004,11,บันทึก!$L$5:$L$1004,ตั้งค่า!$B$3))</f>
        <v/>
      </c>
      <c r="M48" s="50" t="str">
        <f aca="false">IF($A48="","",SUMIFS(บันทึก!$I$5:$I$1004,บันทึก!$C$5:$C$1004,$A48,บันทึก!$K$5:$K$1004,12,บันทึก!$L$5:$L$1004,ตั้งค่า!$B$3))</f>
        <v/>
      </c>
      <c r="N48" s="51" t="str">
        <f aca="false">IF($A48="","",SUM(B48:M48))</f>
        <v/>
      </c>
    </row>
    <row r="49" customFormat="false" ht="15" hidden="false" customHeight="false" outlineLevel="0" collapsed="false">
      <c r="A49" s="29" t="str">
        <f aca="false">A20</f>
        <v/>
      </c>
      <c r="B49" s="50" t="str">
        <f aca="false">IF($A49="","",SUMIFS(บันทึก!$I$5:$I$1004,บันทึก!$C$5:$C$1004,$A49,บันทึก!$K$5:$K$1004,1,บันทึก!$L$5:$L$1004,ตั้งค่า!$B$3))</f>
        <v/>
      </c>
      <c r="C49" s="50" t="str">
        <f aca="false">IF($A49="","",SUMIFS(บันทึก!$I$5:$I$1004,บันทึก!$C$5:$C$1004,$A49,บันทึก!$K$5:$K$1004,2,บันทึก!$L$5:$L$1004,ตั้งค่า!$B$3))</f>
        <v/>
      </c>
      <c r="D49" s="50" t="str">
        <f aca="false">IF($A49="","",SUMIFS(บันทึก!$I$5:$I$1004,บันทึก!$C$5:$C$1004,$A49,บันทึก!$K$5:$K$1004,3,บันทึก!$L$5:$L$1004,ตั้งค่า!$B$3))</f>
        <v/>
      </c>
      <c r="E49" s="50" t="str">
        <f aca="false">IF($A49="","",SUMIFS(บันทึก!$I$5:$I$1004,บันทึก!$C$5:$C$1004,$A49,บันทึก!$K$5:$K$1004,4,บันทึก!$L$5:$L$1004,ตั้งค่า!$B$3))</f>
        <v/>
      </c>
      <c r="F49" s="50" t="str">
        <f aca="false">IF($A49="","",SUMIFS(บันทึก!$I$5:$I$1004,บันทึก!$C$5:$C$1004,$A49,บันทึก!$K$5:$K$1004,5,บันทึก!$L$5:$L$1004,ตั้งค่า!$B$3))</f>
        <v/>
      </c>
      <c r="G49" s="50" t="str">
        <f aca="false">IF($A49="","",SUMIFS(บันทึก!$I$5:$I$1004,บันทึก!$C$5:$C$1004,$A49,บันทึก!$K$5:$K$1004,6,บันทึก!$L$5:$L$1004,ตั้งค่า!$B$3))</f>
        <v/>
      </c>
      <c r="H49" s="50" t="str">
        <f aca="false">IF($A49="","",SUMIFS(บันทึก!$I$5:$I$1004,บันทึก!$C$5:$C$1004,$A49,บันทึก!$K$5:$K$1004,7,บันทึก!$L$5:$L$1004,ตั้งค่า!$B$3))</f>
        <v/>
      </c>
      <c r="I49" s="50" t="str">
        <f aca="false">IF($A49="","",SUMIFS(บันทึก!$I$5:$I$1004,บันทึก!$C$5:$C$1004,$A49,บันทึก!$K$5:$K$1004,8,บันทึก!$L$5:$L$1004,ตั้งค่า!$B$3))</f>
        <v/>
      </c>
      <c r="J49" s="50" t="str">
        <f aca="false">IF($A49="","",SUMIFS(บันทึก!$I$5:$I$1004,บันทึก!$C$5:$C$1004,$A49,บันทึก!$K$5:$K$1004,9,บันทึก!$L$5:$L$1004,ตั้งค่า!$B$3))</f>
        <v/>
      </c>
      <c r="K49" s="50" t="str">
        <f aca="false">IF($A49="","",SUMIFS(บันทึก!$I$5:$I$1004,บันทึก!$C$5:$C$1004,$A49,บันทึก!$K$5:$K$1004,10,บันทึก!$L$5:$L$1004,ตั้งค่า!$B$3))</f>
        <v/>
      </c>
      <c r="L49" s="50" t="str">
        <f aca="false">IF($A49="","",SUMIFS(บันทึก!$I$5:$I$1004,บันทึก!$C$5:$C$1004,$A49,บันทึก!$K$5:$K$1004,11,บันทึก!$L$5:$L$1004,ตั้งค่า!$B$3))</f>
        <v/>
      </c>
      <c r="M49" s="50" t="str">
        <f aca="false">IF($A49="","",SUMIFS(บันทึก!$I$5:$I$1004,บันทึก!$C$5:$C$1004,$A49,บันทึก!$K$5:$K$1004,12,บันทึก!$L$5:$L$1004,ตั้งค่า!$B$3))</f>
        <v/>
      </c>
      <c r="N49" s="51" t="str">
        <f aca="false">IF($A49="","",SUM(B49:M49))</f>
        <v/>
      </c>
    </row>
    <row r="50" customFormat="false" ht="15" hidden="false" customHeight="false" outlineLevel="0" collapsed="false">
      <c r="A50" s="29" t="str">
        <f aca="false">A21</f>
        <v/>
      </c>
      <c r="B50" s="50" t="str">
        <f aca="false">IF($A50="","",SUMIFS(บันทึก!$I$5:$I$1004,บันทึก!$C$5:$C$1004,$A50,บันทึก!$K$5:$K$1004,1,บันทึก!$L$5:$L$1004,ตั้งค่า!$B$3))</f>
        <v/>
      </c>
      <c r="C50" s="50" t="str">
        <f aca="false">IF($A50="","",SUMIFS(บันทึก!$I$5:$I$1004,บันทึก!$C$5:$C$1004,$A50,บันทึก!$K$5:$K$1004,2,บันทึก!$L$5:$L$1004,ตั้งค่า!$B$3))</f>
        <v/>
      </c>
      <c r="D50" s="50" t="str">
        <f aca="false">IF($A50="","",SUMIFS(บันทึก!$I$5:$I$1004,บันทึก!$C$5:$C$1004,$A50,บันทึก!$K$5:$K$1004,3,บันทึก!$L$5:$L$1004,ตั้งค่า!$B$3))</f>
        <v/>
      </c>
      <c r="E50" s="50" t="str">
        <f aca="false">IF($A50="","",SUMIFS(บันทึก!$I$5:$I$1004,บันทึก!$C$5:$C$1004,$A50,บันทึก!$K$5:$K$1004,4,บันทึก!$L$5:$L$1004,ตั้งค่า!$B$3))</f>
        <v/>
      </c>
      <c r="F50" s="50" t="str">
        <f aca="false">IF($A50="","",SUMIFS(บันทึก!$I$5:$I$1004,บันทึก!$C$5:$C$1004,$A50,บันทึก!$K$5:$K$1004,5,บันทึก!$L$5:$L$1004,ตั้งค่า!$B$3))</f>
        <v/>
      </c>
      <c r="G50" s="50" t="str">
        <f aca="false">IF($A50="","",SUMIFS(บันทึก!$I$5:$I$1004,บันทึก!$C$5:$C$1004,$A50,บันทึก!$K$5:$K$1004,6,บันทึก!$L$5:$L$1004,ตั้งค่า!$B$3))</f>
        <v/>
      </c>
      <c r="H50" s="50" t="str">
        <f aca="false">IF($A50="","",SUMIFS(บันทึก!$I$5:$I$1004,บันทึก!$C$5:$C$1004,$A50,บันทึก!$K$5:$K$1004,7,บันทึก!$L$5:$L$1004,ตั้งค่า!$B$3))</f>
        <v/>
      </c>
      <c r="I50" s="50" t="str">
        <f aca="false">IF($A50="","",SUMIFS(บันทึก!$I$5:$I$1004,บันทึก!$C$5:$C$1004,$A50,บันทึก!$K$5:$K$1004,8,บันทึก!$L$5:$L$1004,ตั้งค่า!$B$3))</f>
        <v/>
      </c>
      <c r="J50" s="50" t="str">
        <f aca="false">IF($A50="","",SUMIFS(บันทึก!$I$5:$I$1004,บันทึก!$C$5:$C$1004,$A50,บันทึก!$K$5:$K$1004,9,บันทึก!$L$5:$L$1004,ตั้งค่า!$B$3))</f>
        <v/>
      </c>
      <c r="K50" s="50" t="str">
        <f aca="false">IF($A50="","",SUMIFS(บันทึก!$I$5:$I$1004,บันทึก!$C$5:$C$1004,$A50,บันทึก!$K$5:$K$1004,10,บันทึก!$L$5:$L$1004,ตั้งค่า!$B$3))</f>
        <v/>
      </c>
      <c r="L50" s="50" t="str">
        <f aca="false">IF($A50="","",SUMIFS(บันทึก!$I$5:$I$1004,บันทึก!$C$5:$C$1004,$A50,บันทึก!$K$5:$K$1004,11,บันทึก!$L$5:$L$1004,ตั้งค่า!$B$3))</f>
        <v/>
      </c>
      <c r="M50" s="50" t="str">
        <f aca="false">IF($A50="","",SUMIFS(บันทึก!$I$5:$I$1004,บันทึก!$C$5:$C$1004,$A50,บันทึก!$K$5:$K$1004,12,บันทึก!$L$5:$L$1004,ตั้งค่า!$B$3))</f>
        <v/>
      </c>
      <c r="N50" s="51" t="str">
        <f aca="false">IF($A50="","",SUM(B50:M50))</f>
        <v/>
      </c>
    </row>
    <row r="51" customFormat="false" ht="15" hidden="false" customHeight="false" outlineLevel="0" collapsed="false">
      <c r="A51" s="29" t="str">
        <f aca="false">A22</f>
        <v/>
      </c>
      <c r="B51" s="50" t="str">
        <f aca="false">IF($A51="","",SUMIFS(บันทึก!$I$5:$I$1004,บันทึก!$C$5:$C$1004,$A51,บันทึก!$K$5:$K$1004,1,บันทึก!$L$5:$L$1004,ตั้งค่า!$B$3))</f>
        <v/>
      </c>
      <c r="C51" s="50" t="str">
        <f aca="false">IF($A51="","",SUMIFS(บันทึก!$I$5:$I$1004,บันทึก!$C$5:$C$1004,$A51,บันทึก!$K$5:$K$1004,2,บันทึก!$L$5:$L$1004,ตั้งค่า!$B$3))</f>
        <v/>
      </c>
      <c r="D51" s="50" t="str">
        <f aca="false">IF($A51="","",SUMIFS(บันทึก!$I$5:$I$1004,บันทึก!$C$5:$C$1004,$A51,บันทึก!$K$5:$K$1004,3,บันทึก!$L$5:$L$1004,ตั้งค่า!$B$3))</f>
        <v/>
      </c>
      <c r="E51" s="50" t="str">
        <f aca="false">IF($A51="","",SUMIFS(บันทึก!$I$5:$I$1004,บันทึก!$C$5:$C$1004,$A51,บันทึก!$K$5:$K$1004,4,บันทึก!$L$5:$L$1004,ตั้งค่า!$B$3))</f>
        <v/>
      </c>
      <c r="F51" s="50" t="str">
        <f aca="false">IF($A51="","",SUMIFS(บันทึก!$I$5:$I$1004,บันทึก!$C$5:$C$1004,$A51,บันทึก!$K$5:$K$1004,5,บันทึก!$L$5:$L$1004,ตั้งค่า!$B$3))</f>
        <v/>
      </c>
      <c r="G51" s="50" t="str">
        <f aca="false">IF($A51="","",SUMIFS(บันทึก!$I$5:$I$1004,บันทึก!$C$5:$C$1004,$A51,บันทึก!$K$5:$K$1004,6,บันทึก!$L$5:$L$1004,ตั้งค่า!$B$3))</f>
        <v/>
      </c>
      <c r="H51" s="50" t="str">
        <f aca="false">IF($A51="","",SUMIFS(บันทึก!$I$5:$I$1004,บันทึก!$C$5:$C$1004,$A51,บันทึก!$K$5:$K$1004,7,บันทึก!$L$5:$L$1004,ตั้งค่า!$B$3))</f>
        <v/>
      </c>
      <c r="I51" s="50" t="str">
        <f aca="false">IF($A51="","",SUMIFS(บันทึก!$I$5:$I$1004,บันทึก!$C$5:$C$1004,$A51,บันทึก!$K$5:$K$1004,8,บันทึก!$L$5:$L$1004,ตั้งค่า!$B$3))</f>
        <v/>
      </c>
      <c r="J51" s="50" t="str">
        <f aca="false">IF($A51="","",SUMIFS(บันทึก!$I$5:$I$1004,บันทึก!$C$5:$C$1004,$A51,บันทึก!$K$5:$K$1004,9,บันทึก!$L$5:$L$1004,ตั้งค่า!$B$3))</f>
        <v/>
      </c>
      <c r="K51" s="50" t="str">
        <f aca="false">IF($A51="","",SUMIFS(บันทึก!$I$5:$I$1004,บันทึก!$C$5:$C$1004,$A51,บันทึก!$K$5:$K$1004,10,บันทึก!$L$5:$L$1004,ตั้งค่า!$B$3))</f>
        <v/>
      </c>
      <c r="L51" s="50" t="str">
        <f aca="false">IF($A51="","",SUMIFS(บันทึก!$I$5:$I$1004,บันทึก!$C$5:$C$1004,$A51,บันทึก!$K$5:$K$1004,11,บันทึก!$L$5:$L$1004,ตั้งค่า!$B$3))</f>
        <v/>
      </c>
      <c r="M51" s="50" t="str">
        <f aca="false">IF($A51="","",SUMIFS(บันทึก!$I$5:$I$1004,บันทึก!$C$5:$C$1004,$A51,บันทึก!$K$5:$K$1004,12,บันทึก!$L$5:$L$1004,ตั้งค่า!$B$3))</f>
        <v/>
      </c>
      <c r="N51" s="51" t="str">
        <f aca="false">IF($A51="","",SUM(B51:M51))</f>
        <v/>
      </c>
    </row>
    <row r="52" customFormat="false" ht="15" hidden="false" customHeight="false" outlineLevel="0" collapsed="false">
      <c r="A52" s="29" t="str">
        <f aca="false">A23</f>
        <v/>
      </c>
      <c r="B52" s="50" t="str">
        <f aca="false">IF($A52="","",SUMIFS(บันทึก!$I$5:$I$1004,บันทึก!$C$5:$C$1004,$A52,บันทึก!$K$5:$K$1004,1,บันทึก!$L$5:$L$1004,ตั้งค่า!$B$3))</f>
        <v/>
      </c>
      <c r="C52" s="50" t="str">
        <f aca="false">IF($A52="","",SUMIFS(บันทึก!$I$5:$I$1004,บันทึก!$C$5:$C$1004,$A52,บันทึก!$K$5:$K$1004,2,บันทึก!$L$5:$L$1004,ตั้งค่า!$B$3))</f>
        <v/>
      </c>
      <c r="D52" s="50" t="str">
        <f aca="false">IF($A52="","",SUMIFS(บันทึก!$I$5:$I$1004,บันทึก!$C$5:$C$1004,$A52,บันทึก!$K$5:$K$1004,3,บันทึก!$L$5:$L$1004,ตั้งค่า!$B$3))</f>
        <v/>
      </c>
      <c r="E52" s="50" t="str">
        <f aca="false">IF($A52="","",SUMIFS(บันทึก!$I$5:$I$1004,บันทึก!$C$5:$C$1004,$A52,บันทึก!$K$5:$K$1004,4,บันทึก!$L$5:$L$1004,ตั้งค่า!$B$3))</f>
        <v/>
      </c>
      <c r="F52" s="50" t="str">
        <f aca="false">IF($A52="","",SUMIFS(บันทึก!$I$5:$I$1004,บันทึก!$C$5:$C$1004,$A52,บันทึก!$K$5:$K$1004,5,บันทึก!$L$5:$L$1004,ตั้งค่า!$B$3))</f>
        <v/>
      </c>
      <c r="G52" s="50" t="str">
        <f aca="false">IF($A52="","",SUMIFS(บันทึก!$I$5:$I$1004,บันทึก!$C$5:$C$1004,$A52,บันทึก!$K$5:$K$1004,6,บันทึก!$L$5:$L$1004,ตั้งค่า!$B$3))</f>
        <v/>
      </c>
      <c r="H52" s="50" t="str">
        <f aca="false">IF($A52="","",SUMIFS(บันทึก!$I$5:$I$1004,บันทึก!$C$5:$C$1004,$A52,บันทึก!$K$5:$K$1004,7,บันทึก!$L$5:$L$1004,ตั้งค่า!$B$3))</f>
        <v/>
      </c>
      <c r="I52" s="50" t="str">
        <f aca="false">IF($A52="","",SUMIFS(บันทึก!$I$5:$I$1004,บันทึก!$C$5:$C$1004,$A52,บันทึก!$K$5:$K$1004,8,บันทึก!$L$5:$L$1004,ตั้งค่า!$B$3))</f>
        <v/>
      </c>
      <c r="J52" s="50" t="str">
        <f aca="false">IF($A52="","",SUMIFS(บันทึก!$I$5:$I$1004,บันทึก!$C$5:$C$1004,$A52,บันทึก!$K$5:$K$1004,9,บันทึก!$L$5:$L$1004,ตั้งค่า!$B$3))</f>
        <v/>
      </c>
      <c r="K52" s="50" t="str">
        <f aca="false">IF($A52="","",SUMIFS(บันทึก!$I$5:$I$1004,บันทึก!$C$5:$C$1004,$A52,บันทึก!$K$5:$K$1004,10,บันทึก!$L$5:$L$1004,ตั้งค่า!$B$3))</f>
        <v/>
      </c>
      <c r="L52" s="50" t="str">
        <f aca="false">IF($A52="","",SUMIFS(บันทึก!$I$5:$I$1004,บันทึก!$C$5:$C$1004,$A52,บันทึก!$K$5:$K$1004,11,บันทึก!$L$5:$L$1004,ตั้งค่า!$B$3))</f>
        <v/>
      </c>
      <c r="M52" s="50" t="str">
        <f aca="false">IF($A52="","",SUMIFS(บันทึก!$I$5:$I$1004,บันทึก!$C$5:$C$1004,$A52,บันทึก!$K$5:$K$1004,12,บันทึก!$L$5:$L$1004,ตั้งค่า!$B$3))</f>
        <v/>
      </c>
      <c r="N52" s="51" t="str">
        <f aca="false">IF($A52="","",SUM(B52:M52))</f>
        <v/>
      </c>
    </row>
    <row r="53" customFormat="false" ht="15" hidden="false" customHeight="false" outlineLevel="0" collapsed="false">
      <c r="A53" s="29" t="str">
        <f aca="false">A24</f>
        <v/>
      </c>
      <c r="B53" s="50" t="str">
        <f aca="false">IF($A53="","",SUMIFS(บันทึก!$I$5:$I$1004,บันทึก!$C$5:$C$1004,$A53,บันทึก!$K$5:$K$1004,1,บันทึก!$L$5:$L$1004,ตั้งค่า!$B$3))</f>
        <v/>
      </c>
      <c r="C53" s="50" t="str">
        <f aca="false">IF($A53="","",SUMIFS(บันทึก!$I$5:$I$1004,บันทึก!$C$5:$C$1004,$A53,บันทึก!$K$5:$K$1004,2,บันทึก!$L$5:$L$1004,ตั้งค่า!$B$3))</f>
        <v/>
      </c>
      <c r="D53" s="50" t="str">
        <f aca="false">IF($A53="","",SUMIFS(บันทึก!$I$5:$I$1004,บันทึก!$C$5:$C$1004,$A53,บันทึก!$K$5:$K$1004,3,บันทึก!$L$5:$L$1004,ตั้งค่า!$B$3))</f>
        <v/>
      </c>
      <c r="E53" s="50" t="str">
        <f aca="false">IF($A53="","",SUMIFS(บันทึก!$I$5:$I$1004,บันทึก!$C$5:$C$1004,$A53,บันทึก!$K$5:$K$1004,4,บันทึก!$L$5:$L$1004,ตั้งค่า!$B$3))</f>
        <v/>
      </c>
      <c r="F53" s="50" t="str">
        <f aca="false">IF($A53="","",SUMIFS(บันทึก!$I$5:$I$1004,บันทึก!$C$5:$C$1004,$A53,บันทึก!$K$5:$K$1004,5,บันทึก!$L$5:$L$1004,ตั้งค่า!$B$3))</f>
        <v/>
      </c>
      <c r="G53" s="50" t="str">
        <f aca="false">IF($A53="","",SUMIFS(บันทึก!$I$5:$I$1004,บันทึก!$C$5:$C$1004,$A53,บันทึก!$K$5:$K$1004,6,บันทึก!$L$5:$L$1004,ตั้งค่า!$B$3))</f>
        <v/>
      </c>
      <c r="H53" s="50" t="str">
        <f aca="false">IF($A53="","",SUMIFS(บันทึก!$I$5:$I$1004,บันทึก!$C$5:$C$1004,$A53,บันทึก!$K$5:$K$1004,7,บันทึก!$L$5:$L$1004,ตั้งค่า!$B$3))</f>
        <v/>
      </c>
      <c r="I53" s="50" t="str">
        <f aca="false">IF($A53="","",SUMIFS(บันทึก!$I$5:$I$1004,บันทึก!$C$5:$C$1004,$A53,บันทึก!$K$5:$K$1004,8,บันทึก!$L$5:$L$1004,ตั้งค่า!$B$3))</f>
        <v/>
      </c>
      <c r="J53" s="50" t="str">
        <f aca="false">IF($A53="","",SUMIFS(บันทึก!$I$5:$I$1004,บันทึก!$C$5:$C$1004,$A53,บันทึก!$K$5:$K$1004,9,บันทึก!$L$5:$L$1004,ตั้งค่า!$B$3))</f>
        <v/>
      </c>
      <c r="K53" s="50" t="str">
        <f aca="false">IF($A53="","",SUMIFS(บันทึก!$I$5:$I$1004,บันทึก!$C$5:$C$1004,$A53,บันทึก!$K$5:$K$1004,10,บันทึก!$L$5:$L$1004,ตั้งค่า!$B$3))</f>
        <v/>
      </c>
      <c r="L53" s="50" t="str">
        <f aca="false">IF($A53="","",SUMIFS(บันทึก!$I$5:$I$1004,บันทึก!$C$5:$C$1004,$A53,บันทึก!$K$5:$K$1004,11,บันทึก!$L$5:$L$1004,ตั้งค่า!$B$3))</f>
        <v/>
      </c>
      <c r="M53" s="50" t="str">
        <f aca="false">IF($A53="","",SUMIFS(บันทึก!$I$5:$I$1004,บันทึก!$C$5:$C$1004,$A53,บันทึก!$K$5:$K$1004,12,บันทึก!$L$5:$L$1004,ตั้งค่า!$B$3))</f>
        <v/>
      </c>
      <c r="N53" s="51" t="str">
        <f aca="false">IF($A53="","",SUM(B53:M53))</f>
        <v/>
      </c>
    </row>
    <row r="54" customFormat="false" ht="15" hidden="false" customHeight="false" outlineLevel="0" collapsed="false">
      <c r="A54" s="29" t="str">
        <f aca="false">A25</f>
        <v/>
      </c>
      <c r="B54" s="50" t="str">
        <f aca="false">IF($A54="","",SUMIFS(บันทึก!$I$5:$I$1004,บันทึก!$C$5:$C$1004,$A54,บันทึก!$K$5:$K$1004,1,บันทึก!$L$5:$L$1004,ตั้งค่า!$B$3))</f>
        <v/>
      </c>
      <c r="C54" s="50" t="str">
        <f aca="false">IF($A54="","",SUMIFS(บันทึก!$I$5:$I$1004,บันทึก!$C$5:$C$1004,$A54,บันทึก!$K$5:$K$1004,2,บันทึก!$L$5:$L$1004,ตั้งค่า!$B$3))</f>
        <v/>
      </c>
      <c r="D54" s="50" t="str">
        <f aca="false">IF($A54="","",SUMIFS(บันทึก!$I$5:$I$1004,บันทึก!$C$5:$C$1004,$A54,บันทึก!$K$5:$K$1004,3,บันทึก!$L$5:$L$1004,ตั้งค่า!$B$3))</f>
        <v/>
      </c>
      <c r="E54" s="50" t="str">
        <f aca="false">IF($A54="","",SUMIFS(บันทึก!$I$5:$I$1004,บันทึก!$C$5:$C$1004,$A54,บันทึก!$K$5:$K$1004,4,บันทึก!$L$5:$L$1004,ตั้งค่า!$B$3))</f>
        <v/>
      </c>
      <c r="F54" s="50" t="str">
        <f aca="false">IF($A54="","",SUMIFS(บันทึก!$I$5:$I$1004,บันทึก!$C$5:$C$1004,$A54,บันทึก!$K$5:$K$1004,5,บันทึก!$L$5:$L$1004,ตั้งค่า!$B$3))</f>
        <v/>
      </c>
      <c r="G54" s="50" t="str">
        <f aca="false">IF($A54="","",SUMIFS(บันทึก!$I$5:$I$1004,บันทึก!$C$5:$C$1004,$A54,บันทึก!$K$5:$K$1004,6,บันทึก!$L$5:$L$1004,ตั้งค่า!$B$3))</f>
        <v/>
      </c>
      <c r="H54" s="50" t="str">
        <f aca="false">IF($A54="","",SUMIFS(บันทึก!$I$5:$I$1004,บันทึก!$C$5:$C$1004,$A54,บันทึก!$K$5:$K$1004,7,บันทึก!$L$5:$L$1004,ตั้งค่า!$B$3))</f>
        <v/>
      </c>
      <c r="I54" s="50" t="str">
        <f aca="false">IF($A54="","",SUMIFS(บันทึก!$I$5:$I$1004,บันทึก!$C$5:$C$1004,$A54,บันทึก!$K$5:$K$1004,8,บันทึก!$L$5:$L$1004,ตั้งค่า!$B$3))</f>
        <v/>
      </c>
      <c r="J54" s="50" t="str">
        <f aca="false">IF($A54="","",SUMIFS(บันทึก!$I$5:$I$1004,บันทึก!$C$5:$C$1004,$A54,บันทึก!$K$5:$K$1004,9,บันทึก!$L$5:$L$1004,ตั้งค่า!$B$3))</f>
        <v/>
      </c>
      <c r="K54" s="50" t="str">
        <f aca="false">IF($A54="","",SUMIFS(บันทึก!$I$5:$I$1004,บันทึก!$C$5:$C$1004,$A54,บันทึก!$K$5:$K$1004,10,บันทึก!$L$5:$L$1004,ตั้งค่า!$B$3))</f>
        <v/>
      </c>
      <c r="L54" s="50" t="str">
        <f aca="false">IF($A54="","",SUMIFS(บันทึก!$I$5:$I$1004,บันทึก!$C$5:$C$1004,$A54,บันทึก!$K$5:$K$1004,11,บันทึก!$L$5:$L$1004,ตั้งค่า!$B$3))</f>
        <v/>
      </c>
      <c r="M54" s="50" t="str">
        <f aca="false">IF($A54="","",SUMIFS(บันทึก!$I$5:$I$1004,บันทึก!$C$5:$C$1004,$A54,บันทึก!$K$5:$K$1004,12,บันทึก!$L$5:$L$1004,ตั้งค่า!$B$3))</f>
        <v/>
      </c>
      <c r="N54" s="51" t="str">
        <f aca="false">IF($A54="","",SUM(B54:M54))</f>
        <v/>
      </c>
    </row>
    <row r="55" customFormat="false" ht="15" hidden="false" customHeight="false" outlineLevel="0" collapsed="false">
      <c r="A55" s="29" t="str">
        <f aca="false">A26</f>
        <v/>
      </c>
      <c r="B55" s="50" t="str">
        <f aca="false">IF($A55="","",SUMIFS(บันทึก!$I$5:$I$1004,บันทึก!$C$5:$C$1004,$A55,บันทึก!$K$5:$K$1004,1,บันทึก!$L$5:$L$1004,ตั้งค่า!$B$3))</f>
        <v/>
      </c>
      <c r="C55" s="50" t="str">
        <f aca="false">IF($A55="","",SUMIFS(บันทึก!$I$5:$I$1004,บันทึก!$C$5:$C$1004,$A55,บันทึก!$K$5:$K$1004,2,บันทึก!$L$5:$L$1004,ตั้งค่า!$B$3))</f>
        <v/>
      </c>
      <c r="D55" s="50" t="str">
        <f aca="false">IF($A55="","",SUMIFS(บันทึก!$I$5:$I$1004,บันทึก!$C$5:$C$1004,$A55,บันทึก!$K$5:$K$1004,3,บันทึก!$L$5:$L$1004,ตั้งค่า!$B$3))</f>
        <v/>
      </c>
      <c r="E55" s="50" t="str">
        <f aca="false">IF($A55="","",SUMIFS(บันทึก!$I$5:$I$1004,บันทึก!$C$5:$C$1004,$A55,บันทึก!$K$5:$K$1004,4,บันทึก!$L$5:$L$1004,ตั้งค่า!$B$3))</f>
        <v/>
      </c>
      <c r="F55" s="50" t="str">
        <f aca="false">IF($A55="","",SUMIFS(บันทึก!$I$5:$I$1004,บันทึก!$C$5:$C$1004,$A55,บันทึก!$K$5:$K$1004,5,บันทึก!$L$5:$L$1004,ตั้งค่า!$B$3))</f>
        <v/>
      </c>
      <c r="G55" s="50" t="str">
        <f aca="false">IF($A55="","",SUMIFS(บันทึก!$I$5:$I$1004,บันทึก!$C$5:$C$1004,$A55,บันทึก!$K$5:$K$1004,6,บันทึก!$L$5:$L$1004,ตั้งค่า!$B$3))</f>
        <v/>
      </c>
      <c r="H55" s="50" t="str">
        <f aca="false">IF($A55="","",SUMIFS(บันทึก!$I$5:$I$1004,บันทึก!$C$5:$C$1004,$A55,บันทึก!$K$5:$K$1004,7,บันทึก!$L$5:$L$1004,ตั้งค่า!$B$3))</f>
        <v/>
      </c>
      <c r="I55" s="50" t="str">
        <f aca="false">IF($A55="","",SUMIFS(บันทึก!$I$5:$I$1004,บันทึก!$C$5:$C$1004,$A55,บันทึก!$K$5:$K$1004,8,บันทึก!$L$5:$L$1004,ตั้งค่า!$B$3))</f>
        <v/>
      </c>
      <c r="J55" s="50" t="str">
        <f aca="false">IF($A55="","",SUMIFS(บันทึก!$I$5:$I$1004,บันทึก!$C$5:$C$1004,$A55,บันทึก!$K$5:$K$1004,9,บันทึก!$L$5:$L$1004,ตั้งค่า!$B$3))</f>
        <v/>
      </c>
      <c r="K55" s="50" t="str">
        <f aca="false">IF($A55="","",SUMIFS(บันทึก!$I$5:$I$1004,บันทึก!$C$5:$C$1004,$A55,บันทึก!$K$5:$K$1004,10,บันทึก!$L$5:$L$1004,ตั้งค่า!$B$3))</f>
        <v/>
      </c>
      <c r="L55" s="50" t="str">
        <f aca="false">IF($A55="","",SUMIFS(บันทึก!$I$5:$I$1004,บันทึก!$C$5:$C$1004,$A55,บันทึก!$K$5:$K$1004,11,บันทึก!$L$5:$L$1004,ตั้งค่า!$B$3))</f>
        <v/>
      </c>
      <c r="M55" s="50" t="str">
        <f aca="false">IF($A55="","",SUMIFS(บันทึก!$I$5:$I$1004,บันทึก!$C$5:$C$1004,$A55,บันทึก!$K$5:$K$1004,12,บันทึก!$L$5:$L$1004,ตั้งค่า!$B$3))</f>
        <v/>
      </c>
      <c r="N55" s="51" t="str">
        <f aca="false">IF($A55="","",SUM(B55:M55))</f>
        <v/>
      </c>
    </row>
    <row r="56" customFormat="false" ht="15" hidden="false" customHeight="false" outlineLevel="0" collapsed="false">
      <c r="A56" s="29" t="str">
        <f aca="false">A27</f>
        <v/>
      </c>
      <c r="B56" s="50" t="str">
        <f aca="false">IF($A56="","",SUMIFS(บันทึก!$I$5:$I$1004,บันทึก!$C$5:$C$1004,$A56,บันทึก!$K$5:$K$1004,1,บันทึก!$L$5:$L$1004,ตั้งค่า!$B$3))</f>
        <v/>
      </c>
      <c r="C56" s="50" t="str">
        <f aca="false">IF($A56="","",SUMIFS(บันทึก!$I$5:$I$1004,บันทึก!$C$5:$C$1004,$A56,บันทึก!$K$5:$K$1004,2,บันทึก!$L$5:$L$1004,ตั้งค่า!$B$3))</f>
        <v/>
      </c>
      <c r="D56" s="50" t="str">
        <f aca="false">IF($A56="","",SUMIFS(บันทึก!$I$5:$I$1004,บันทึก!$C$5:$C$1004,$A56,บันทึก!$K$5:$K$1004,3,บันทึก!$L$5:$L$1004,ตั้งค่า!$B$3))</f>
        <v/>
      </c>
      <c r="E56" s="50" t="str">
        <f aca="false">IF($A56="","",SUMIFS(บันทึก!$I$5:$I$1004,บันทึก!$C$5:$C$1004,$A56,บันทึก!$K$5:$K$1004,4,บันทึก!$L$5:$L$1004,ตั้งค่า!$B$3))</f>
        <v/>
      </c>
      <c r="F56" s="50" t="str">
        <f aca="false">IF($A56="","",SUMIFS(บันทึก!$I$5:$I$1004,บันทึก!$C$5:$C$1004,$A56,บันทึก!$K$5:$K$1004,5,บันทึก!$L$5:$L$1004,ตั้งค่า!$B$3))</f>
        <v/>
      </c>
      <c r="G56" s="50" t="str">
        <f aca="false">IF($A56="","",SUMIFS(บันทึก!$I$5:$I$1004,บันทึก!$C$5:$C$1004,$A56,บันทึก!$K$5:$K$1004,6,บันทึก!$L$5:$L$1004,ตั้งค่า!$B$3))</f>
        <v/>
      </c>
      <c r="H56" s="50" t="str">
        <f aca="false">IF($A56="","",SUMIFS(บันทึก!$I$5:$I$1004,บันทึก!$C$5:$C$1004,$A56,บันทึก!$K$5:$K$1004,7,บันทึก!$L$5:$L$1004,ตั้งค่า!$B$3))</f>
        <v/>
      </c>
      <c r="I56" s="50" t="str">
        <f aca="false">IF($A56="","",SUMIFS(บันทึก!$I$5:$I$1004,บันทึก!$C$5:$C$1004,$A56,บันทึก!$K$5:$K$1004,8,บันทึก!$L$5:$L$1004,ตั้งค่า!$B$3))</f>
        <v/>
      </c>
      <c r="J56" s="50" t="str">
        <f aca="false">IF($A56="","",SUMIFS(บันทึก!$I$5:$I$1004,บันทึก!$C$5:$C$1004,$A56,บันทึก!$K$5:$K$1004,9,บันทึก!$L$5:$L$1004,ตั้งค่า!$B$3))</f>
        <v/>
      </c>
      <c r="K56" s="50" t="str">
        <f aca="false">IF($A56="","",SUMIFS(บันทึก!$I$5:$I$1004,บันทึก!$C$5:$C$1004,$A56,บันทึก!$K$5:$K$1004,10,บันทึก!$L$5:$L$1004,ตั้งค่า!$B$3))</f>
        <v/>
      </c>
      <c r="L56" s="50" t="str">
        <f aca="false">IF($A56="","",SUMIFS(บันทึก!$I$5:$I$1004,บันทึก!$C$5:$C$1004,$A56,บันทึก!$K$5:$K$1004,11,บันทึก!$L$5:$L$1004,ตั้งค่า!$B$3))</f>
        <v/>
      </c>
      <c r="M56" s="50" t="str">
        <f aca="false">IF($A56="","",SUMIFS(บันทึก!$I$5:$I$1004,บันทึก!$C$5:$C$1004,$A56,บันทึก!$K$5:$K$1004,12,บันทึก!$L$5:$L$1004,ตั้งค่า!$B$3))</f>
        <v/>
      </c>
      <c r="N56" s="51" t="str">
        <f aca="false">IF($A56="","",SUM(B56:M56))</f>
        <v/>
      </c>
    </row>
    <row r="57" customFormat="false" ht="15" hidden="false" customHeight="false" outlineLevel="0" collapsed="false">
      <c r="A57" s="29" t="str">
        <f aca="false">A28</f>
        <v/>
      </c>
      <c r="B57" s="50" t="str">
        <f aca="false">IF($A57="","",SUMIFS(บันทึก!$I$5:$I$1004,บันทึก!$C$5:$C$1004,$A57,บันทึก!$K$5:$K$1004,1,บันทึก!$L$5:$L$1004,ตั้งค่า!$B$3))</f>
        <v/>
      </c>
      <c r="C57" s="50" t="str">
        <f aca="false">IF($A57="","",SUMIFS(บันทึก!$I$5:$I$1004,บันทึก!$C$5:$C$1004,$A57,บันทึก!$K$5:$K$1004,2,บันทึก!$L$5:$L$1004,ตั้งค่า!$B$3))</f>
        <v/>
      </c>
      <c r="D57" s="50" t="str">
        <f aca="false">IF($A57="","",SUMIFS(บันทึก!$I$5:$I$1004,บันทึก!$C$5:$C$1004,$A57,บันทึก!$K$5:$K$1004,3,บันทึก!$L$5:$L$1004,ตั้งค่า!$B$3))</f>
        <v/>
      </c>
      <c r="E57" s="50" t="str">
        <f aca="false">IF($A57="","",SUMIFS(บันทึก!$I$5:$I$1004,บันทึก!$C$5:$C$1004,$A57,บันทึก!$K$5:$K$1004,4,บันทึก!$L$5:$L$1004,ตั้งค่า!$B$3))</f>
        <v/>
      </c>
      <c r="F57" s="50" t="str">
        <f aca="false">IF($A57="","",SUMIFS(บันทึก!$I$5:$I$1004,บันทึก!$C$5:$C$1004,$A57,บันทึก!$K$5:$K$1004,5,บันทึก!$L$5:$L$1004,ตั้งค่า!$B$3))</f>
        <v/>
      </c>
      <c r="G57" s="50" t="str">
        <f aca="false">IF($A57="","",SUMIFS(บันทึก!$I$5:$I$1004,บันทึก!$C$5:$C$1004,$A57,บันทึก!$K$5:$K$1004,6,บันทึก!$L$5:$L$1004,ตั้งค่า!$B$3))</f>
        <v/>
      </c>
      <c r="H57" s="50" t="str">
        <f aca="false">IF($A57="","",SUMIFS(บันทึก!$I$5:$I$1004,บันทึก!$C$5:$C$1004,$A57,บันทึก!$K$5:$K$1004,7,บันทึก!$L$5:$L$1004,ตั้งค่า!$B$3))</f>
        <v/>
      </c>
      <c r="I57" s="50" t="str">
        <f aca="false">IF($A57="","",SUMIFS(บันทึก!$I$5:$I$1004,บันทึก!$C$5:$C$1004,$A57,บันทึก!$K$5:$K$1004,8,บันทึก!$L$5:$L$1004,ตั้งค่า!$B$3))</f>
        <v/>
      </c>
      <c r="J57" s="50" t="str">
        <f aca="false">IF($A57="","",SUMIFS(บันทึก!$I$5:$I$1004,บันทึก!$C$5:$C$1004,$A57,บันทึก!$K$5:$K$1004,9,บันทึก!$L$5:$L$1004,ตั้งค่า!$B$3))</f>
        <v/>
      </c>
      <c r="K57" s="50" t="str">
        <f aca="false">IF($A57="","",SUMIFS(บันทึก!$I$5:$I$1004,บันทึก!$C$5:$C$1004,$A57,บันทึก!$K$5:$K$1004,10,บันทึก!$L$5:$L$1004,ตั้งค่า!$B$3))</f>
        <v/>
      </c>
      <c r="L57" s="50" t="str">
        <f aca="false">IF($A57="","",SUMIFS(บันทึก!$I$5:$I$1004,บันทึก!$C$5:$C$1004,$A57,บันทึก!$K$5:$K$1004,11,บันทึก!$L$5:$L$1004,ตั้งค่า!$B$3))</f>
        <v/>
      </c>
      <c r="M57" s="50" t="str">
        <f aca="false">IF($A57="","",SUMIFS(บันทึก!$I$5:$I$1004,บันทึก!$C$5:$C$1004,$A57,บันทึก!$K$5:$K$1004,12,บันทึก!$L$5:$L$1004,ตั้งค่า!$B$3))</f>
        <v/>
      </c>
      <c r="N57" s="51" t="str">
        <f aca="false">IF($A57="","",SUM(B57:M57))</f>
        <v/>
      </c>
    </row>
    <row r="58" customFormat="false" ht="15" hidden="false" customHeight="false" outlineLevel="0" collapsed="false">
      <c r="A58" s="29" t="str">
        <f aca="false">A29</f>
        <v/>
      </c>
      <c r="B58" s="50" t="str">
        <f aca="false">IF($A58="","",SUMIFS(บันทึก!$I$5:$I$1004,บันทึก!$C$5:$C$1004,$A58,บันทึก!$K$5:$K$1004,1,บันทึก!$L$5:$L$1004,ตั้งค่า!$B$3))</f>
        <v/>
      </c>
      <c r="C58" s="50" t="str">
        <f aca="false">IF($A58="","",SUMIFS(บันทึก!$I$5:$I$1004,บันทึก!$C$5:$C$1004,$A58,บันทึก!$K$5:$K$1004,2,บันทึก!$L$5:$L$1004,ตั้งค่า!$B$3))</f>
        <v/>
      </c>
      <c r="D58" s="50" t="str">
        <f aca="false">IF($A58="","",SUMIFS(บันทึก!$I$5:$I$1004,บันทึก!$C$5:$C$1004,$A58,บันทึก!$K$5:$K$1004,3,บันทึก!$L$5:$L$1004,ตั้งค่า!$B$3))</f>
        <v/>
      </c>
      <c r="E58" s="50" t="str">
        <f aca="false">IF($A58="","",SUMIFS(บันทึก!$I$5:$I$1004,บันทึก!$C$5:$C$1004,$A58,บันทึก!$K$5:$K$1004,4,บันทึก!$L$5:$L$1004,ตั้งค่า!$B$3))</f>
        <v/>
      </c>
      <c r="F58" s="50" t="str">
        <f aca="false">IF($A58="","",SUMIFS(บันทึก!$I$5:$I$1004,บันทึก!$C$5:$C$1004,$A58,บันทึก!$K$5:$K$1004,5,บันทึก!$L$5:$L$1004,ตั้งค่า!$B$3))</f>
        <v/>
      </c>
      <c r="G58" s="50" t="str">
        <f aca="false">IF($A58="","",SUMIFS(บันทึก!$I$5:$I$1004,บันทึก!$C$5:$C$1004,$A58,บันทึก!$K$5:$K$1004,6,บันทึก!$L$5:$L$1004,ตั้งค่า!$B$3))</f>
        <v/>
      </c>
      <c r="H58" s="50" t="str">
        <f aca="false">IF($A58="","",SUMIFS(บันทึก!$I$5:$I$1004,บันทึก!$C$5:$C$1004,$A58,บันทึก!$K$5:$K$1004,7,บันทึก!$L$5:$L$1004,ตั้งค่า!$B$3))</f>
        <v/>
      </c>
      <c r="I58" s="50" t="str">
        <f aca="false">IF($A58="","",SUMIFS(บันทึก!$I$5:$I$1004,บันทึก!$C$5:$C$1004,$A58,บันทึก!$K$5:$K$1004,8,บันทึก!$L$5:$L$1004,ตั้งค่า!$B$3))</f>
        <v/>
      </c>
      <c r="J58" s="50" t="str">
        <f aca="false">IF($A58="","",SUMIFS(บันทึก!$I$5:$I$1004,บันทึก!$C$5:$C$1004,$A58,บันทึก!$K$5:$K$1004,9,บันทึก!$L$5:$L$1004,ตั้งค่า!$B$3))</f>
        <v/>
      </c>
      <c r="K58" s="50" t="str">
        <f aca="false">IF($A58="","",SUMIFS(บันทึก!$I$5:$I$1004,บันทึก!$C$5:$C$1004,$A58,บันทึก!$K$5:$K$1004,10,บันทึก!$L$5:$L$1004,ตั้งค่า!$B$3))</f>
        <v/>
      </c>
      <c r="L58" s="50" t="str">
        <f aca="false">IF($A58="","",SUMIFS(บันทึก!$I$5:$I$1004,บันทึก!$C$5:$C$1004,$A58,บันทึก!$K$5:$K$1004,11,บันทึก!$L$5:$L$1004,ตั้งค่า!$B$3))</f>
        <v/>
      </c>
      <c r="M58" s="50" t="str">
        <f aca="false">IF($A58="","",SUMIFS(บันทึก!$I$5:$I$1004,บันทึก!$C$5:$C$1004,$A58,บันทึก!$K$5:$K$1004,12,บันทึก!$L$5:$L$1004,ตั้งค่า!$B$3))</f>
        <v/>
      </c>
      <c r="N58" s="51" t="str">
        <f aca="false">IF($A58="","",SUM(B58:M58))</f>
        <v/>
      </c>
    </row>
    <row r="59" customFormat="false" ht="15" hidden="false" customHeight="false" outlineLevel="0" collapsed="false">
      <c r="A59" s="29" t="str">
        <f aca="false">A30</f>
        <v/>
      </c>
      <c r="B59" s="50" t="str">
        <f aca="false">IF($A59="","",SUMIFS(บันทึก!$I$5:$I$1004,บันทึก!$C$5:$C$1004,$A59,บันทึก!$K$5:$K$1004,1,บันทึก!$L$5:$L$1004,ตั้งค่า!$B$3))</f>
        <v/>
      </c>
      <c r="C59" s="50" t="str">
        <f aca="false">IF($A59="","",SUMIFS(บันทึก!$I$5:$I$1004,บันทึก!$C$5:$C$1004,$A59,บันทึก!$K$5:$K$1004,2,บันทึก!$L$5:$L$1004,ตั้งค่า!$B$3))</f>
        <v/>
      </c>
      <c r="D59" s="50" t="str">
        <f aca="false">IF($A59="","",SUMIFS(บันทึก!$I$5:$I$1004,บันทึก!$C$5:$C$1004,$A59,บันทึก!$K$5:$K$1004,3,บันทึก!$L$5:$L$1004,ตั้งค่า!$B$3))</f>
        <v/>
      </c>
      <c r="E59" s="50" t="str">
        <f aca="false">IF($A59="","",SUMIFS(บันทึก!$I$5:$I$1004,บันทึก!$C$5:$C$1004,$A59,บันทึก!$K$5:$K$1004,4,บันทึก!$L$5:$L$1004,ตั้งค่า!$B$3))</f>
        <v/>
      </c>
      <c r="F59" s="50" t="str">
        <f aca="false">IF($A59="","",SUMIFS(บันทึก!$I$5:$I$1004,บันทึก!$C$5:$C$1004,$A59,บันทึก!$K$5:$K$1004,5,บันทึก!$L$5:$L$1004,ตั้งค่า!$B$3))</f>
        <v/>
      </c>
      <c r="G59" s="50" t="str">
        <f aca="false">IF($A59="","",SUMIFS(บันทึก!$I$5:$I$1004,บันทึก!$C$5:$C$1004,$A59,บันทึก!$K$5:$K$1004,6,บันทึก!$L$5:$L$1004,ตั้งค่า!$B$3))</f>
        <v/>
      </c>
      <c r="H59" s="50" t="str">
        <f aca="false">IF($A59="","",SUMIFS(บันทึก!$I$5:$I$1004,บันทึก!$C$5:$C$1004,$A59,บันทึก!$K$5:$K$1004,7,บันทึก!$L$5:$L$1004,ตั้งค่า!$B$3))</f>
        <v/>
      </c>
      <c r="I59" s="50" t="str">
        <f aca="false">IF($A59="","",SUMIFS(บันทึก!$I$5:$I$1004,บันทึก!$C$5:$C$1004,$A59,บันทึก!$K$5:$K$1004,8,บันทึก!$L$5:$L$1004,ตั้งค่า!$B$3))</f>
        <v/>
      </c>
      <c r="J59" s="50" t="str">
        <f aca="false">IF($A59="","",SUMIFS(บันทึก!$I$5:$I$1004,บันทึก!$C$5:$C$1004,$A59,บันทึก!$K$5:$K$1004,9,บันทึก!$L$5:$L$1004,ตั้งค่า!$B$3))</f>
        <v/>
      </c>
      <c r="K59" s="50" t="str">
        <f aca="false">IF($A59="","",SUMIFS(บันทึก!$I$5:$I$1004,บันทึก!$C$5:$C$1004,$A59,บันทึก!$K$5:$K$1004,10,บันทึก!$L$5:$L$1004,ตั้งค่า!$B$3))</f>
        <v/>
      </c>
      <c r="L59" s="50" t="str">
        <f aca="false">IF($A59="","",SUMIFS(บันทึก!$I$5:$I$1004,บันทึก!$C$5:$C$1004,$A59,บันทึก!$K$5:$K$1004,11,บันทึก!$L$5:$L$1004,ตั้งค่า!$B$3))</f>
        <v/>
      </c>
      <c r="M59" s="50" t="str">
        <f aca="false">IF($A59="","",SUMIFS(บันทึก!$I$5:$I$1004,บันทึก!$C$5:$C$1004,$A59,บันทึก!$K$5:$K$1004,12,บันทึก!$L$5:$L$1004,ตั้งค่า!$B$3))</f>
        <v/>
      </c>
      <c r="N59" s="51" t="str">
        <f aca="false">IF($A59="","",SUM(B59:M59))</f>
        <v/>
      </c>
    </row>
    <row r="60" customFormat="false" ht="15" hidden="false" customHeight="false" outlineLevel="0" collapsed="false">
      <c r="A60" s="39" t="s">
        <v>120</v>
      </c>
      <c r="B60" s="52" t="n">
        <f aca="false">SUM(B35:B59)</f>
        <v>0</v>
      </c>
      <c r="C60" s="52" t="n">
        <f aca="false">SUM(C35:C59)</f>
        <v>0</v>
      </c>
      <c r="D60" s="52" t="n">
        <f aca="false">SUM(D35:D59)</f>
        <v>0</v>
      </c>
      <c r="E60" s="52" t="n">
        <f aca="false">SUM(E35:E59)</f>
        <v>0</v>
      </c>
      <c r="F60" s="52" t="n">
        <f aca="false">SUM(F35:F59)</f>
        <v>0</v>
      </c>
      <c r="G60" s="52" t="n">
        <f aca="false">SUM(G35:G59)</f>
        <v>0</v>
      </c>
      <c r="H60" s="52" t="n">
        <f aca="false">SUM(H35:H59)</f>
        <v>0</v>
      </c>
      <c r="I60" s="52" t="n">
        <f aca="false">SUM(I35:I59)</f>
        <v>0</v>
      </c>
      <c r="J60" s="52" t="n">
        <f aca="false">SUM(J35:J59)</f>
        <v>10650</v>
      </c>
      <c r="K60" s="52" t="n">
        <f aca="false">SUM(K35:K59)</f>
        <v>10468</v>
      </c>
      <c r="L60" s="52" t="n">
        <f aca="false">SUM(L35:L59)</f>
        <v>0</v>
      </c>
      <c r="M60" s="52" t="n">
        <f aca="false">SUM(M35:M59)</f>
        <v>0</v>
      </c>
      <c r="N60" s="52" t="n">
        <f aca="false">SUM(N35:N59)</f>
        <v>21118</v>
      </c>
    </row>
  </sheetData>
  <conditionalFormatting sqref="F6:F30">
    <cfRule type="cellIs" priority="2" operator="equal" aboveAverage="0" equalAverage="0" bottom="0" percent="0" rank="0" text="" dxfId="10">
      <formula>"เกินงบ"</formula>
    </cfRule>
    <cfRule type="cellIs" priority="3" operator="equal" aboveAverage="0" equalAverage="0" bottom="0" percent="0" rank="0" text="" dxfId="11">
      <formula>"ใกล้เต็ม"</formula>
    </cfRule>
    <cfRule type="cellIs" priority="4" operator="equal" aboveAverage="0" equalAverage="0" bottom="0" percent="0" rank="0" text="" dxfId="12">
      <formula>"ปกติ"</formula>
    </cfRule>
  </conditionalFormatting>
  <conditionalFormatting sqref="D6:D31">
    <cfRule type="cellIs" priority="5" operator="lessThan" aboveAverage="0" equalAverage="0" bottom="0" percent="0" rank="0" text="" dxfId="8">
      <formula>0</formula>
    </cfRule>
  </conditionalFormatting>
  <conditionalFormatting sqref="E6:E30">
    <cfRule type="dataBar" priority="6">
      <dataBar showValue="1" minLength="10" maxLength="90">
        <cfvo type="num" val="0"/>
        <cfvo type="num" val="1"/>
        <color rgb="FFD8B46A"/>
      </dataBar>
      <extLst>
        <ext xmlns:x14="http://schemas.microsoft.com/office/spreadsheetml/2009/9/main" uri="{B025F937-C7B1-47D3-B67F-A62EFF666E3E}">
          <x14:id>{B1CCBFF1-2D19-428A-947E-A8F545275B97}</x14:id>
        </ext>
      </extLst>
    </cfRule>
  </conditionalFormatting>
  <dataValidations count="1">
    <dataValidation allowBlank="false" errorStyle="stop" operator="between" showDropDown="false" showErrorMessage="false" showInputMessage="false" sqref="B3" type="list">
      <formula1>"มกราคม,กุมภาพันธ์,มีนาคม,เมษายน,พฤษภาคม,มิถุนายน,กรกฎาคม,สิงหาคม,กันยายน,ตุลาคม,พฤศจิกายน,ธันวาคม"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1CCBFF1-2D19-428A-947E-A8F545275B97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D8B46A"/>
              <x14:axisColor rgb="FF000000"/>
            </x14:dataBar>
          </x14:cfRule>
          <xm:sqref>E6:E30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2026-10-22T13:16:57Z</dcterms:created>
  <dc:creator>openpyxl</dc:creator>
  <dc:description/>
  <dc:language>en-US</dc:language>
  <cp:lastModifiedBy/>
  <dcterms:modified xsi:type="dcterms:W3CDTF">2026-10-22T13:17:00Z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